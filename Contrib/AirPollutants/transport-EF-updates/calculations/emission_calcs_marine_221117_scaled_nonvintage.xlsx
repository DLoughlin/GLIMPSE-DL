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GLIMPSE-5p4\Contrib\AirPollutants\xml\"/>
    </mc:Choice>
  </mc:AlternateContent>
  <xr:revisionPtr revIDLastSave="0" documentId="13_ncr:1_{C771262C-B784-46A0-83F8-5EF7735339D1}" xr6:coauthVersionLast="47" xr6:coauthVersionMax="47" xr10:uidLastSave="{00000000-0000-0000-0000-000000000000}"/>
  <bookViews>
    <workbookView xWindow="4230" yWindow="3040" windowWidth="33490" windowHeight="15320" xr2:uid="{051141FD-CA10-44BF-87B4-A488FE3E0D1D}"/>
  </bookViews>
  <sheets>
    <sheet name="emission_calcs_marine_221101_sc" sheetId="1" r:id="rId1"/>
    <sheet name="Sheet1" sheetId="5" r:id="rId2"/>
    <sheet name="Calcs (2)" sheetId="3" r:id="rId3"/>
    <sheet name="GCAMResult_preScale" sheetId="4" r:id="rId4"/>
  </sheets>
  <definedNames>
    <definedName name="_xlnm._FilterDatabase" localSheetId="0" hidden="1">emission_calcs_marine_221101_sc!$A$5:$K$89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3" i="4" l="1"/>
  <c r="H32" i="4"/>
  <c r="G32" i="4"/>
  <c r="L79" i="3" s="1"/>
  <c r="F105" i="3" s="1"/>
  <c r="H31" i="4"/>
  <c r="G31" i="4"/>
  <c r="H30" i="4"/>
  <c r="M82" i="3" s="1"/>
  <c r="G95" i="3" s="1"/>
  <c r="G30" i="4"/>
  <c r="H29" i="4"/>
  <c r="M83" i="3" s="1"/>
  <c r="G90" i="3" s="1"/>
  <c r="G29" i="4"/>
  <c r="H28" i="4"/>
  <c r="G28" i="4"/>
  <c r="H27" i="4"/>
  <c r="G27" i="4"/>
  <c r="F80" i="3" s="1"/>
  <c r="O84" i="3"/>
  <c r="G22" i="3"/>
  <c r="M84" i="3"/>
  <c r="G85" i="3" s="1"/>
  <c r="M79" i="3"/>
  <c r="G105" i="3" s="1"/>
  <c r="M80" i="3"/>
  <c r="G100" i="3" s="1"/>
  <c r="G80" i="3"/>
  <c r="L80" i="3"/>
  <c r="F100" i="3" s="1"/>
  <c r="L82" i="3"/>
  <c r="F95" i="3" s="1"/>
  <c r="L83" i="3"/>
  <c r="F90" i="3" s="1"/>
  <c r="L84" i="3"/>
  <c r="F85" i="3" s="1"/>
  <c r="Q84" i="3" l="1"/>
  <c r="I85" i="3"/>
  <c r="L81" i="3"/>
  <c r="M81" i="3"/>
  <c r="F75" i="3" l="1"/>
  <c r="F74" i="3"/>
  <c r="AA22" i="3"/>
  <c r="O79" i="3" s="1"/>
  <c r="Q79" i="3" s="1"/>
  <c r="I105" i="3" s="1"/>
  <c r="G142" i="1" s="1"/>
  <c r="AE15" i="3"/>
  <c r="AE22" i="3" s="1"/>
  <c r="AD15" i="3"/>
  <c r="AD22" i="3" s="1"/>
  <c r="AC15" i="3"/>
  <c r="AC22" i="3" s="1"/>
  <c r="G58" i="3" s="1"/>
  <c r="AB15" i="3"/>
  <c r="AB22" i="3" s="1"/>
  <c r="AA15" i="3"/>
  <c r="AE14" i="3"/>
  <c r="AE21" i="3" s="1"/>
  <c r="AD14" i="3"/>
  <c r="AD21" i="3" s="1"/>
  <c r="AC14" i="3"/>
  <c r="AC21" i="3" s="1"/>
  <c r="AB14" i="3"/>
  <c r="AB21" i="3" s="1"/>
  <c r="AA14" i="3"/>
  <c r="AA21" i="3" s="1"/>
  <c r="N79" i="3" s="1"/>
  <c r="P79" i="3" s="1"/>
  <c r="H105" i="3" s="1"/>
  <c r="G46" i="1" s="1"/>
  <c r="Z15" i="3"/>
  <c r="Z22" i="3" s="1"/>
  <c r="I57" i="3" s="1"/>
  <c r="Y15" i="3"/>
  <c r="Y22" i="3" s="1"/>
  <c r="X15" i="3"/>
  <c r="X22" i="3" s="1"/>
  <c r="G57" i="3" s="1"/>
  <c r="W15" i="3"/>
  <c r="W22" i="3" s="1"/>
  <c r="V15" i="3"/>
  <c r="V22" i="3" s="1"/>
  <c r="O80" i="3" s="1"/>
  <c r="Q80" i="3" s="1"/>
  <c r="I100" i="3" s="1"/>
  <c r="G182" i="1" s="1"/>
  <c r="Z14" i="3"/>
  <c r="Z21" i="3" s="1"/>
  <c r="Y14" i="3"/>
  <c r="Y21" i="3" s="1"/>
  <c r="X14" i="3"/>
  <c r="X21" i="3" s="1"/>
  <c r="W14" i="3"/>
  <c r="W21" i="3" s="1"/>
  <c r="F49" i="3" s="1"/>
  <c r="V14" i="3"/>
  <c r="V21" i="3" s="1"/>
  <c r="N80" i="3" s="1"/>
  <c r="P80" i="3" s="1"/>
  <c r="H100" i="3" s="1"/>
  <c r="G86" i="1" s="1"/>
  <c r="U15" i="3"/>
  <c r="U22" i="3" s="1"/>
  <c r="I56" i="3" s="1"/>
  <c r="T15" i="3"/>
  <c r="T22" i="3" s="1"/>
  <c r="H56" i="3" s="1"/>
  <c r="S15" i="3"/>
  <c r="S22" i="3" s="1"/>
  <c r="R15" i="3"/>
  <c r="R22" i="3" s="1"/>
  <c r="Q15" i="3"/>
  <c r="Q22" i="3" s="1"/>
  <c r="O82" i="3" s="1"/>
  <c r="Q82" i="3" s="1"/>
  <c r="I95" i="3" s="1"/>
  <c r="G118" i="1" s="1"/>
  <c r="U14" i="3"/>
  <c r="U21" i="3" s="1"/>
  <c r="I48" i="3" s="1"/>
  <c r="T14" i="3"/>
  <c r="T21" i="3" s="1"/>
  <c r="H48" i="3" s="1"/>
  <c r="S14" i="3"/>
  <c r="S21" i="3" s="1"/>
  <c r="R14" i="3"/>
  <c r="R21" i="3" s="1"/>
  <c r="F48" i="3" s="1"/>
  <c r="Q14" i="3"/>
  <c r="Q21" i="3" s="1"/>
  <c r="N82" i="3" s="1"/>
  <c r="P82" i="3" s="1"/>
  <c r="H95" i="3" s="1"/>
  <c r="G70" i="1" s="1"/>
  <c r="P15" i="3"/>
  <c r="P22" i="3" s="1"/>
  <c r="O15" i="3"/>
  <c r="O22" i="3" s="1"/>
  <c r="N15" i="3"/>
  <c r="N22" i="3" s="1"/>
  <c r="M15" i="3"/>
  <c r="M22" i="3" s="1"/>
  <c r="F55" i="3" s="1"/>
  <c r="L15" i="3"/>
  <c r="L22" i="3" s="1"/>
  <c r="O83" i="3" s="1"/>
  <c r="Q83" i="3" s="1"/>
  <c r="I90" i="3" s="1"/>
  <c r="P14" i="3"/>
  <c r="P21" i="3" s="1"/>
  <c r="I47" i="3" s="1"/>
  <c r="O14" i="3"/>
  <c r="O21" i="3" s="1"/>
  <c r="N14" i="3"/>
  <c r="N21" i="3" s="1"/>
  <c r="G47" i="3" s="1"/>
  <c r="M14" i="3"/>
  <c r="M21" i="3" s="1"/>
  <c r="L14" i="3"/>
  <c r="L21" i="3" s="1"/>
  <c r="N83" i="3" s="1"/>
  <c r="P83" i="3" s="1"/>
  <c r="H90" i="3" s="1"/>
  <c r="G78" i="1" s="1"/>
  <c r="K15" i="3"/>
  <c r="K22" i="3" s="1"/>
  <c r="J15" i="3"/>
  <c r="J22" i="3" s="1"/>
  <c r="I15" i="3"/>
  <c r="I22" i="3" s="1"/>
  <c r="G54" i="3" s="1"/>
  <c r="H15" i="3"/>
  <c r="H22" i="3" s="1"/>
  <c r="G15" i="3"/>
  <c r="G158" i="1" s="1"/>
  <c r="K14" i="3"/>
  <c r="K21" i="3" s="1"/>
  <c r="J14" i="3"/>
  <c r="J21" i="3" s="1"/>
  <c r="I14" i="3"/>
  <c r="I21" i="3" s="1"/>
  <c r="H14" i="3"/>
  <c r="H21" i="3" s="1"/>
  <c r="F46" i="3" s="1"/>
  <c r="G14" i="3"/>
  <c r="G21" i="3" s="1"/>
  <c r="N84" i="3" s="1"/>
  <c r="P84" i="3" s="1"/>
  <c r="H85" i="3" s="1"/>
  <c r="G14" i="1" s="1"/>
  <c r="F15" i="3"/>
  <c r="F22" i="3" s="1"/>
  <c r="I53" i="3" s="1"/>
  <c r="F14" i="3"/>
  <c r="F21" i="3" s="1"/>
  <c r="I45" i="3" s="1"/>
  <c r="E14" i="3"/>
  <c r="E21" i="3" s="1"/>
  <c r="H45" i="3" s="1"/>
  <c r="E15" i="3"/>
  <c r="E22" i="3" s="1"/>
  <c r="H53" i="3" s="1"/>
  <c r="D15" i="3"/>
  <c r="D22" i="3" s="1"/>
  <c r="G53" i="3" s="1"/>
  <c r="D14" i="3"/>
  <c r="D21" i="3" s="1"/>
  <c r="C14" i="3"/>
  <c r="C21" i="3" s="1"/>
  <c r="F45" i="3" s="1"/>
  <c r="B14" i="3"/>
  <c r="B21" i="3" s="1"/>
  <c r="C15" i="3"/>
  <c r="C22" i="3" s="1"/>
  <c r="F53" i="3" s="1"/>
  <c r="B15" i="3"/>
  <c r="B22" i="3" s="1"/>
  <c r="O81" i="3" s="1"/>
  <c r="Q81" i="3" s="1"/>
  <c r="I80" i="3" s="1"/>
  <c r="G102" i="1" s="1"/>
  <c r="L39" i="3"/>
  <c r="K39" i="3"/>
  <c r="J39" i="3"/>
  <c r="I39" i="3"/>
  <c r="H39" i="3"/>
  <c r="G39" i="3"/>
  <c r="F39" i="3"/>
  <c r="L38" i="3"/>
  <c r="K38" i="3"/>
  <c r="J38" i="3"/>
  <c r="I38" i="3"/>
  <c r="H38" i="3"/>
  <c r="G38" i="3"/>
  <c r="F38" i="3"/>
  <c r="E39" i="3"/>
  <c r="E38" i="3"/>
  <c r="G174" i="1" l="1"/>
  <c r="G126" i="1"/>
  <c r="E45" i="3"/>
  <c r="N81" i="3"/>
  <c r="P81" i="3" s="1"/>
  <c r="G22" i="1"/>
  <c r="G166" i="1"/>
  <c r="G134" i="1"/>
  <c r="G190" i="1"/>
  <c r="G62" i="1"/>
  <c r="G30" i="1"/>
  <c r="G150" i="1"/>
  <c r="G38" i="1"/>
  <c r="G94" i="1"/>
  <c r="G110" i="1"/>
  <c r="H47" i="3"/>
  <c r="F54" i="3"/>
  <c r="G48" i="3"/>
  <c r="H57" i="3"/>
  <c r="F58" i="3"/>
  <c r="H54" i="3"/>
  <c r="H58" i="3"/>
  <c r="I54" i="3"/>
  <c r="G55" i="3"/>
  <c r="H49" i="3"/>
  <c r="F50" i="3"/>
  <c r="I58" i="3"/>
  <c r="G45" i="3"/>
  <c r="G46" i="3"/>
  <c r="H55" i="3"/>
  <c r="F56" i="3"/>
  <c r="I49" i="3"/>
  <c r="G50" i="3"/>
  <c r="L50" i="3" s="1"/>
  <c r="F107" i="3" s="1"/>
  <c r="H107" i="3" s="1"/>
  <c r="H46" i="3"/>
  <c r="F47" i="3"/>
  <c r="I55" i="3"/>
  <c r="G56" i="3"/>
  <c r="H50" i="3"/>
  <c r="G49" i="3"/>
  <c r="I46" i="3"/>
  <c r="F57" i="3"/>
  <c r="I50" i="3"/>
  <c r="E57" i="3"/>
  <c r="E49" i="3"/>
  <c r="J49" i="3" s="1"/>
  <c r="E54" i="3"/>
  <c r="J54" i="3" s="1"/>
  <c r="E55" i="3"/>
  <c r="J55" i="3" s="1"/>
  <c r="E46" i="3"/>
  <c r="E50" i="3"/>
  <c r="J50" i="3" s="1"/>
  <c r="E56" i="3"/>
  <c r="J56" i="3" s="1"/>
  <c r="E47" i="3"/>
  <c r="E48" i="3"/>
  <c r="J48" i="3" s="1"/>
  <c r="E58" i="3"/>
  <c r="J58" i="3" s="1"/>
  <c r="E53" i="3"/>
  <c r="J53" i="3" s="1"/>
  <c r="J45" i="3"/>
  <c r="J46" i="3"/>
  <c r="G48" i="1" l="1"/>
  <c r="G96" i="1"/>
  <c r="M58" i="3"/>
  <c r="G108" i="3" s="1"/>
  <c r="I108" i="3" s="1"/>
  <c r="H84" i="3"/>
  <c r="H80" i="3"/>
  <c r="G56" i="1"/>
  <c r="G152" i="1"/>
  <c r="L58" i="3"/>
  <c r="G107" i="3" s="1"/>
  <c r="I107" i="3" s="1"/>
  <c r="N58" i="3"/>
  <c r="G109" i="3" s="1"/>
  <c r="I109" i="3" s="1"/>
  <c r="K58" i="3"/>
  <c r="G106" i="3" s="1"/>
  <c r="I106" i="3" s="1"/>
  <c r="N50" i="3"/>
  <c r="K55" i="3"/>
  <c r="G91" i="3" s="1"/>
  <c r="I91" i="3" s="1"/>
  <c r="K45" i="3"/>
  <c r="F81" i="3" s="1"/>
  <c r="H81" i="3" s="1"/>
  <c r="G7" i="1" s="1"/>
  <c r="M50" i="3"/>
  <c r="F108" i="3" s="1"/>
  <c r="H108" i="3" s="1"/>
  <c r="K50" i="3"/>
  <c r="F106" i="3" s="1"/>
  <c r="H106" i="3" s="1"/>
  <c r="L45" i="3"/>
  <c r="F82" i="3" s="1"/>
  <c r="H82" i="3" s="1"/>
  <c r="G8" i="1" s="1"/>
  <c r="N45" i="3"/>
  <c r="F84" i="3" s="1"/>
  <c r="M45" i="3"/>
  <c r="F83" i="3" s="1"/>
  <c r="H83" i="3" s="1"/>
  <c r="M55" i="3"/>
  <c r="G93" i="3" s="1"/>
  <c r="I93" i="3" s="1"/>
  <c r="N47" i="3"/>
  <c r="F94" i="3" s="1"/>
  <c r="H94" i="3" s="1"/>
  <c r="N48" i="3"/>
  <c r="F99" i="3" s="1"/>
  <c r="H99" i="3" s="1"/>
  <c r="M54" i="3"/>
  <c r="G88" i="3" s="1"/>
  <c r="I88" i="3" s="1"/>
  <c r="K47" i="3"/>
  <c r="F91" i="3" s="1"/>
  <c r="H91" i="3" s="1"/>
  <c r="L55" i="3"/>
  <c r="G92" i="3" s="1"/>
  <c r="I92" i="3" s="1"/>
  <c r="L48" i="3"/>
  <c r="F97" i="3" s="1"/>
  <c r="H97" i="3" s="1"/>
  <c r="L54" i="3"/>
  <c r="G87" i="3" s="1"/>
  <c r="I87" i="3" s="1"/>
  <c r="L53" i="3"/>
  <c r="G82" i="3" s="1"/>
  <c r="I82" i="3" s="1"/>
  <c r="G104" i="1" s="1"/>
  <c r="L47" i="3"/>
  <c r="F92" i="3" s="1"/>
  <c r="H92" i="3" s="1"/>
  <c r="M46" i="3"/>
  <c r="F88" i="3" s="1"/>
  <c r="H88" i="3" s="1"/>
  <c r="K53" i="3"/>
  <c r="G81" i="3" s="1"/>
  <c r="I81" i="3" s="1"/>
  <c r="G103" i="1" s="1"/>
  <c r="N53" i="3"/>
  <c r="G84" i="3" s="1"/>
  <c r="I84" i="3" s="1"/>
  <c r="K57" i="3"/>
  <c r="G101" i="3" s="1"/>
  <c r="I101" i="3" s="1"/>
  <c r="M48" i="3"/>
  <c r="F98" i="3" s="1"/>
  <c r="H98" i="3" s="1"/>
  <c r="N54" i="3"/>
  <c r="G89" i="3" s="1"/>
  <c r="I89" i="3" s="1"/>
  <c r="M49" i="3"/>
  <c r="F103" i="3" s="1"/>
  <c r="H103" i="3" s="1"/>
  <c r="L57" i="3"/>
  <c r="G102" i="3" s="1"/>
  <c r="I102" i="3" s="1"/>
  <c r="L49" i="3"/>
  <c r="F102" i="3" s="1"/>
  <c r="H102" i="3" s="1"/>
  <c r="K49" i="3"/>
  <c r="F101" i="3" s="1"/>
  <c r="H101" i="3" s="1"/>
  <c r="N55" i="3"/>
  <c r="G94" i="3" s="1"/>
  <c r="I94" i="3" s="1"/>
  <c r="M53" i="3"/>
  <c r="G83" i="3" s="1"/>
  <c r="I83" i="3" s="1"/>
  <c r="K48" i="3"/>
  <c r="F96" i="3" s="1"/>
  <c r="H96" i="3" s="1"/>
  <c r="N56" i="3"/>
  <c r="G99" i="3" s="1"/>
  <c r="I99" i="3" s="1"/>
  <c r="J47" i="3"/>
  <c r="M47" i="3"/>
  <c r="F93" i="3" s="1"/>
  <c r="H93" i="3" s="1"/>
  <c r="L56" i="3"/>
  <c r="G97" i="3" s="1"/>
  <c r="I97" i="3" s="1"/>
  <c r="K46" i="3"/>
  <c r="F86" i="3" s="1"/>
  <c r="H86" i="3" s="1"/>
  <c r="K56" i="3"/>
  <c r="G96" i="3" s="1"/>
  <c r="I96" i="3" s="1"/>
  <c r="K54" i="3"/>
  <c r="G86" i="3" s="1"/>
  <c r="I86" i="3" s="1"/>
  <c r="N46" i="3"/>
  <c r="F89" i="3" s="1"/>
  <c r="H89" i="3" s="1"/>
  <c r="M56" i="3"/>
  <c r="G98" i="3" s="1"/>
  <c r="I98" i="3" s="1"/>
  <c r="J57" i="3"/>
  <c r="M57" i="3"/>
  <c r="G103" i="3" s="1"/>
  <c r="I103" i="3" s="1"/>
  <c r="N49" i="3"/>
  <c r="F104" i="3" s="1"/>
  <c r="H104" i="3" s="1"/>
  <c r="L46" i="3"/>
  <c r="F87" i="3" s="1"/>
  <c r="H87" i="3" s="1"/>
  <c r="N57" i="3"/>
  <c r="G104" i="3" s="1"/>
  <c r="I104" i="3" s="1"/>
  <c r="G49" i="1" l="1"/>
  <c r="G97" i="1"/>
  <c r="G193" i="1"/>
  <c r="G145" i="1"/>
  <c r="G47" i="1"/>
  <c r="G95" i="1"/>
  <c r="F109" i="3"/>
  <c r="H109" i="3" s="1"/>
  <c r="G194" i="1"/>
  <c r="G195" i="1" s="1"/>
  <c r="G196" i="1" s="1"/>
  <c r="G197" i="1" s="1"/>
  <c r="G146" i="1"/>
  <c r="G147" i="1" s="1"/>
  <c r="G148" i="1" s="1"/>
  <c r="G149" i="1" s="1"/>
  <c r="G143" i="1"/>
  <c r="G191" i="1"/>
  <c r="G192" i="1"/>
  <c r="G144" i="1"/>
  <c r="G186" i="1"/>
  <c r="G187" i="1" s="1"/>
  <c r="G188" i="1" s="1"/>
  <c r="G189" i="1" s="1"/>
  <c r="G138" i="1"/>
  <c r="G139" i="1" s="1"/>
  <c r="G140" i="1" s="1"/>
  <c r="G141" i="1" s="1"/>
  <c r="G183" i="1"/>
  <c r="G135" i="1"/>
  <c r="G42" i="1"/>
  <c r="G90" i="1"/>
  <c r="G184" i="1"/>
  <c r="G136" i="1"/>
  <c r="G39" i="1"/>
  <c r="G87" i="1"/>
  <c r="G40" i="1"/>
  <c r="G88" i="1"/>
  <c r="G185" i="1"/>
  <c r="G137" i="1"/>
  <c r="G41" i="1"/>
  <c r="G89" i="1"/>
  <c r="G122" i="1"/>
  <c r="G123" i="1" s="1"/>
  <c r="G124" i="1" s="1"/>
  <c r="G125" i="1" s="1"/>
  <c r="G170" i="1"/>
  <c r="G171" i="1" s="1"/>
  <c r="G172" i="1" s="1"/>
  <c r="G173" i="1" s="1"/>
  <c r="G72" i="1"/>
  <c r="G24" i="1"/>
  <c r="G23" i="1"/>
  <c r="G71" i="1"/>
  <c r="G167" i="1"/>
  <c r="G119" i="1"/>
  <c r="G168" i="1"/>
  <c r="G120" i="1"/>
  <c r="G121" i="1"/>
  <c r="G169" i="1"/>
  <c r="G73" i="1"/>
  <c r="G25" i="1"/>
  <c r="G74" i="1"/>
  <c r="G75" i="1" s="1"/>
  <c r="G76" i="1" s="1"/>
  <c r="G77" i="1" s="1"/>
  <c r="G26" i="1"/>
  <c r="G27" i="1" s="1"/>
  <c r="G28" i="1" s="1"/>
  <c r="G29" i="1" s="1"/>
  <c r="G79" i="1"/>
  <c r="G31" i="1"/>
  <c r="G176" i="1"/>
  <c r="G128" i="1"/>
  <c r="G178" i="1"/>
  <c r="G179" i="1" s="1"/>
  <c r="G180" i="1" s="1"/>
  <c r="G181" i="1" s="1"/>
  <c r="G130" i="1"/>
  <c r="G131" i="1" s="1"/>
  <c r="G132" i="1" s="1"/>
  <c r="G133" i="1" s="1"/>
  <c r="G80" i="1"/>
  <c r="G32" i="1"/>
  <c r="G127" i="1"/>
  <c r="G175" i="1"/>
  <c r="G81" i="1"/>
  <c r="G33" i="1"/>
  <c r="G34" i="1"/>
  <c r="G35" i="1" s="1"/>
  <c r="G36" i="1" s="1"/>
  <c r="G37" i="1" s="1"/>
  <c r="G82" i="1"/>
  <c r="G177" i="1"/>
  <c r="G129" i="1"/>
  <c r="G160" i="1"/>
  <c r="G112" i="1"/>
  <c r="G66" i="1"/>
  <c r="G67" i="1" s="1"/>
  <c r="G68" i="1" s="1"/>
  <c r="G69" i="1" s="1"/>
  <c r="G18" i="1"/>
  <c r="G19" i="1" s="1"/>
  <c r="G20" i="1" s="1"/>
  <c r="G21" i="1" s="1"/>
  <c r="G16" i="1"/>
  <c r="G64" i="1"/>
  <c r="G161" i="1"/>
  <c r="G113" i="1"/>
  <c r="G162" i="1"/>
  <c r="G163" i="1" s="1"/>
  <c r="G164" i="1" s="1"/>
  <c r="G165" i="1" s="1"/>
  <c r="G114" i="1"/>
  <c r="G115" i="1" s="1"/>
  <c r="G116" i="1" s="1"/>
  <c r="G117" i="1" s="1"/>
  <c r="G111" i="1"/>
  <c r="G159" i="1"/>
  <c r="G15" i="1"/>
  <c r="G63" i="1"/>
  <c r="G17" i="1"/>
  <c r="G65" i="1"/>
  <c r="G54" i="1"/>
  <c r="G6" i="1"/>
  <c r="G55" i="1"/>
  <c r="G106" i="1"/>
  <c r="G154" i="1"/>
  <c r="G155" i="1" s="1"/>
  <c r="G156" i="1" s="1"/>
  <c r="G157" i="1" s="1"/>
  <c r="G151" i="1"/>
  <c r="G58" i="1"/>
  <c r="G59" i="1" s="1"/>
  <c r="G60" i="1" s="1"/>
  <c r="G61" i="1" s="1"/>
  <c r="G10" i="1"/>
  <c r="G11" i="1" s="1"/>
  <c r="G12" i="1" s="1"/>
  <c r="G13" i="1" s="1"/>
  <c r="G9" i="1"/>
  <c r="G57" i="1"/>
  <c r="G105" i="1"/>
  <c r="G153" i="1"/>
  <c r="G43" i="1"/>
  <c r="G44" i="1" s="1"/>
  <c r="G45" i="1" s="1"/>
  <c r="G91" i="1"/>
  <c r="G92" i="1" s="1"/>
  <c r="G93" i="1" s="1"/>
  <c r="G83" i="1"/>
  <c r="G84" i="1" s="1"/>
  <c r="G85" i="1" s="1"/>
  <c r="G107" i="1"/>
  <c r="G108" i="1" s="1"/>
  <c r="G109" i="1" s="1"/>
  <c r="G50" i="1" l="1"/>
  <c r="G51" i="1" s="1"/>
  <c r="G52" i="1" s="1"/>
  <c r="G53" i="1" s="1"/>
  <c r="G98" i="1"/>
  <c r="G99" i="1" s="1"/>
  <c r="G100" i="1" s="1"/>
  <c r="G101" i="1" s="1"/>
</calcChain>
</file>

<file path=xl/sharedStrings.xml><?xml version="1.0" encoding="utf-8"?>
<sst xmlns="http://schemas.openxmlformats.org/spreadsheetml/2006/main" count="1535" uniqueCount="78">
  <si>
    <t>region</t>
  </si>
  <si>
    <t>supplysector</t>
  </si>
  <si>
    <t>tranSubsector</t>
  </si>
  <si>
    <t>stub-technology</t>
  </si>
  <si>
    <t>year</t>
  </si>
  <si>
    <t>pollutant</t>
  </si>
  <si>
    <t>value</t>
  </si>
  <si>
    <t>trn_freight</t>
  </si>
  <si>
    <t>Liquids</t>
  </si>
  <si>
    <t>NOx</t>
  </si>
  <si>
    <t>Hybrid Liquids</t>
  </si>
  <si>
    <t>scenario</t>
  </si>
  <si>
    <t>subsector</t>
  </si>
  <si>
    <t>technology</t>
  </si>
  <si>
    <t>Units</t>
  </si>
  <si>
    <t>Total</t>
  </si>
  <si>
    <t>EJ</t>
  </si>
  <si>
    <t>PM2.5</t>
  </si>
  <si>
    <t>SO2</t>
  </si>
  <si>
    <t>PM25</t>
  </si>
  <si>
    <t>VOC</t>
  </si>
  <si>
    <t>NMVOC</t>
  </si>
  <si>
    <t>PM10</t>
  </si>
  <si>
    <t>all states</t>
  </si>
  <si>
    <t>INPUT_TABLE</t>
  </si>
  <si>
    <t>Variable ID</t>
  </si>
  <si>
    <t>type</t>
  </si>
  <si>
    <t>input-driver</t>
  </si>
  <si>
    <t>GLIMPSEInputEmissCoef</t>
  </si>
  <si>
    <t>Domestic Ship</t>
  </si>
  <si>
    <t>CO</t>
  </si>
  <si>
    <t>International Ship</t>
  </si>
  <si>
    <t>BEV</t>
  </si>
  <si>
    <t>FCEV</t>
  </si>
  <si>
    <t>Emissions from EPA projections</t>
  </si>
  <si>
    <t>EPA Inventory &amp; Projections</t>
  </si>
  <si>
    <t>Year</t>
  </si>
  <si>
    <t>cmv_c1c2</t>
  </si>
  <si>
    <t>cmv_c3</t>
  </si>
  <si>
    <t>Interpolated values</t>
  </si>
  <si>
    <t>GLIMPSE-Reference,date=2022-25-7T16:47:52-04:00</t>
  </si>
  <si>
    <t>million ton-km</t>
  </si>
  <si>
    <t>Total demand</t>
  </si>
  <si>
    <t>Emission factors based on EPA emissions and GCAM service demands</t>
  </si>
  <si>
    <t>Deltas relative to 2015</t>
  </si>
  <si>
    <t>Step 1. Obtain emissions from 2016ef inventory and its projections</t>
  </si>
  <si>
    <t>Step 2. Interpolate to obtain values for 2015, 2020, 2025, 2030, and 2032</t>
  </si>
  <si>
    <t>Step 3. Convert to Tg</t>
  </si>
  <si>
    <t>Step 4. Get an estimate of national travel demand from GCAM-USA 5.4 outputs</t>
  </si>
  <si>
    <t>Step 5. Estimate output-based emission factors based on steps 3 and 4</t>
  </si>
  <si>
    <t>Step 6. Calculate an input-based emission factor based on inventory emissions, GCAM's energy use in 2015, and the output trends based on Step 5</t>
  </si>
  <si>
    <t>Fuel use</t>
  </si>
  <si>
    <t>Original emission factors</t>
  </si>
  <si>
    <t>sector</t>
  </si>
  <si>
    <t>GHG</t>
  </si>
  <si>
    <t>N/A</t>
  </si>
  <si>
    <t>BC</t>
  </si>
  <si>
    <t>Tg</t>
  </si>
  <si>
    <t>CO2</t>
  </si>
  <si>
    <t>MTC</t>
  </si>
  <si>
    <t>NH3</t>
  </si>
  <si>
    <t>OC</t>
  </si>
  <si>
    <t>trn_shipping_intl</t>
  </si>
  <si>
    <t>2015 Pre-Scaled emissions</t>
  </si>
  <si>
    <t>2015 Inventory</t>
  </si>
  <si>
    <t>Domestic</t>
  </si>
  <si>
    <t>Int'l</t>
  </si>
  <si>
    <t>Scaling</t>
  </si>
  <si>
    <t>Scaled emission factors</t>
  </si>
  <si>
    <t xml:space="preserve">Note: </t>
  </si>
  <si>
    <t xml:space="preserve">Prior versions calculated emission factors based on inventory data, but vintaging meant that emissions decreased too slowly. </t>
  </si>
  <si>
    <t>The current version applies 2035 Efs to 2020 vintages or later, reflecting full implementation of standards.</t>
  </si>
  <si>
    <t>Initial Efs</t>
  </si>
  <si>
    <t>Dom</t>
  </si>
  <si>
    <t>Intl</t>
  </si>
  <si>
    <t>Emission factors</t>
  </si>
  <si>
    <t>GLIMPSE-Ref-20221117-RPS,date=2022-18-11T08:47:27-05:00</t>
  </si>
  <si>
    <t>SO2_1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</si>
</sst>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_(* #,##0.0000_);_(* \(#,##0.0000\);_(* &quot;-&quot;??_);_(@_)"/>
    <numFmt numFmtId="167" formatCode="0.00000"/>
    <numFmt numFmtId="168" formatCode="_(* #,##0.00000_);_(* \(#,##0.00000\);_(* &quot;-&quot;??_);_(@_)"/>
    <numFmt numFmtId="169" formatCode="_(* #,##0.000000_);_(* \(#,##0.000000\);_(* &quot;-&quot;??_);_(@_)"/>
    <numFmt numFmtId="170" formatCode="_(* #,##0.0000000_);_(* \(#,##0.00000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11" fontId="0" fillId="0" borderId="0" xfId="0" applyNumberFormat="1"/>
    <xf numFmtId="43" fontId="0" fillId="0" borderId="0" xfId="1" applyFont="1"/>
    <xf numFmtId="164" fontId="0" fillId="0" borderId="0" xfId="1" applyNumberFormat="1" applyFont="1"/>
    <xf numFmtId="165" fontId="0" fillId="0" borderId="0" xfId="0" applyNumberFormat="1"/>
    <xf numFmtId="166" fontId="0" fillId="0" borderId="0" xfId="0" applyNumberFormat="1"/>
    <xf numFmtId="0" fontId="0" fillId="0" borderId="0" xfId="1" applyNumberFormat="1" applyFont="1"/>
    <xf numFmtId="167" fontId="0" fillId="0" borderId="0" xfId="0" applyNumberFormat="1"/>
    <xf numFmtId="43" fontId="0" fillId="0" borderId="0" xfId="0" applyNumberFormat="1"/>
    <xf numFmtId="164" fontId="0" fillId="0" borderId="0" xfId="0" applyNumberFormat="1"/>
    <xf numFmtId="0" fontId="2" fillId="0" borderId="0" xfId="0" applyFont="1"/>
    <xf numFmtId="168" fontId="0" fillId="0" borderId="0" xfId="1" applyNumberFormat="1" applyFont="1"/>
    <xf numFmtId="169" fontId="0" fillId="0" borderId="0" xfId="1" applyNumberFormat="1" applyFont="1"/>
    <xf numFmtId="165" fontId="2" fillId="0" borderId="0" xfId="0" applyNumberFormat="1" applyFont="1"/>
    <xf numFmtId="167" fontId="2" fillId="0" borderId="0" xfId="0" applyNumberFormat="1" applyFont="1"/>
    <xf numFmtId="0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0" fontId="3" fillId="0" borderId="0" xfId="0" applyNumberFormat="1" applyFont="1"/>
    <xf numFmtId="0" fontId="0" fillId="0" borderId="0" xfId="0" applyAlignment="1">
      <alignment vertical="center"/>
    </xf>
    <xf numFmtId="0" fontId="0" fillId="0" borderId="1" xfId="0" applyBorder="1"/>
    <xf numFmtId="169" fontId="0" fillId="0" borderId="2" xfId="1" applyNumberFormat="1" applyFont="1" applyBorder="1"/>
    <xf numFmtId="169" fontId="0" fillId="0" borderId="3" xfId="1" applyNumberFormat="1" applyFont="1" applyBorder="1"/>
    <xf numFmtId="0" fontId="0" fillId="0" borderId="4" xfId="0" applyBorder="1"/>
    <xf numFmtId="169" fontId="0" fillId="0" borderId="0" xfId="1" applyNumberFormat="1" applyFont="1" applyBorder="1"/>
    <xf numFmtId="169" fontId="0" fillId="0" borderId="5" xfId="1" applyNumberFormat="1" applyFont="1" applyBorder="1"/>
    <xf numFmtId="0" fontId="0" fillId="0" borderId="6" xfId="0" applyBorder="1"/>
    <xf numFmtId="169" fontId="0" fillId="0" borderId="7" xfId="1" applyNumberFormat="1" applyFont="1" applyBorder="1"/>
    <xf numFmtId="169" fontId="0" fillId="0" borderId="8" xfId="1" applyNumberFormat="1" applyFont="1" applyBorder="1"/>
    <xf numFmtId="0" fontId="0" fillId="0" borderId="3" xfId="0" applyBorder="1"/>
    <xf numFmtId="169" fontId="0" fillId="0" borderId="1" xfId="1" applyNumberFormat="1" applyFont="1" applyBorder="1"/>
    <xf numFmtId="169" fontId="0" fillId="0" borderId="4" xfId="1" applyNumberFormat="1" applyFont="1" applyBorder="1"/>
    <xf numFmtId="169" fontId="0" fillId="0" borderId="6" xfId="1" applyNumberFormat="1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B06F9-3A27-42F7-94CF-D689A759EF9D}">
  <dimension ref="A1:K197"/>
  <sheetViews>
    <sheetView tabSelected="1" topLeftCell="A111" workbookViewId="0">
      <selection activeCell="G205" sqref="G205"/>
    </sheetView>
  </sheetViews>
  <sheetFormatPr defaultRowHeight="14.5" x14ac:dyDescent="0.35"/>
  <cols>
    <col min="2" max="2" width="12.453125" customWidth="1"/>
    <col min="3" max="3" width="18.1796875" customWidth="1"/>
    <col min="7" max="7" width="10.6328125" bestFit="1" customWidth="1"/>
  </cols>
  <sheetData>
    <row r="1" spans="1:11" x14ac:dyDescent="0.35">
      <c r="A1" t="s">
        <v>24</v>
      </c>
    </row>
    <row r="2" spans="1:11" x14ac:dyDescent="0.35">
      <c r="A2" t="s">
        <v>25</v>
      </c>
    </row>
    <row r="3" spans="1:11" x14ac:dyDescent="0.35">
      <c r="A3" t="s">
        <v>28</v>
      </c>
    </row>
    <row r="5" spans="1:11" x14ac:dyDescent="0.3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26</v>
      </c>
    </row>
    <row r="6" spans="1:11" x14ac:dyDescent="0.35">
      <c r="A6" t="s">
        <v>23</v>
      </c>
      <c r="B6" t="s">
        <v>7</v>
      </c>
      <c r="C6" t="s">
        <v>29</v>
      </c>
      <c r="D6" t="s">
        <v>8</v>
      </c>
      <c r="E6">
        <v>2015</v>
      </c>
      <c r="F6" t="s">
        <v>9</v>
      </c>
      <c r="G6" s="18">
        <f>'Calcs (2)'!H80</f>
        <v>0.46064988069532392</v>
      </c>
      <c r="H6" t="s">
        <v>27</v>
      </c>
      <c r="K6" s="10"/>
    </row>
    <row r="7" spans="1:11" x14ac:dyDescent="0.35">
      <c r="A7" t="s">
        <v>23</v>
      </c>
      <c r="B7" t="s">
        <v>7</v>
      </c>
      <c r="C7" t="s">
        <v>29</v>
      </c>
      <c r="D7" t="s">
        <v>8</v>
      </c>
      <c r="E7">
        <v>2020</v>
      </c>
      <c r="F7" t="s">
        <v>9</v>
      </c>
      <c r="G7" s="18">
        <f>'Calcs (2)'!H81</f>
        <v>0.35403140459664967</v>
      </c>
      <c r="H7" t="s">
        <v>27</v>
      </c>
    </row>
    <row r="8" spans="1:11" x14ac:dyDescent="0.35">
      <c r="A8" t="s">
        <v>23</v>
      </c>
      <c r="B8" t="s">
        <v>7</v>
      </c>
      <c r="C8" t="s">
        <v>29</v>
      </c>
      <c r="D8" t="s">
        <v>8</v>
      </c>
      <c r="E8">
        <v>2025</v>
      </c>
      <c r="F8" t="s">
        <v>9</v>
      </c>
      <c r="G8" s="18">
        <f>'Calcs (2)'!H82</f>
        <v>0.21665866604053954</v>
      </c>
      <c r="H8" t="s">
        <v>27</v>
      </c>
    </row>
    <row r="9" spans="1:11" x14ac:dyDescent="0.35">
      <c r="A9" t="s">
        <v>23</v>
      </c>
      <c r="B9" t="s">
        <v>7</v>
      </c>
      <c r="C9" t="s">
        <v>29</v>
      </c>
      <c r="D9" t="s">
        <v>8</v>
      </c>
      <c r="E9">
        <v>2030</v>
      </c>
      <c r="F9" t="s">
        <v>9</v>
      </c>
      <c r="G9" s="18">
        <f>'Calcs (2)'!H83</f>
        <v>0.18107371456742175</v>
      </c>
      <c r="H9" t="s">
        <v>27</v>
      </c>
    </row>
    <row r="10" spans="1:11" x14ac:dyDescent="0.35">
      <c r="A10" t="s">
        <v>23</v>
      </c>
      <c r="B10" t="s">
        <v>7</v>
      </c>
      <c r="C10" t="s">
        <v>29</v>
      </c>
      <c r="D10" t="s">
        <v>8</v>
      </c>
      <c r="E10">
        <v>2035</v>
      </c>
      <c r="F10" t="s">
        <v>9</v>
      </c>
      <c r="G10" s="18">
        <f>'Calcs (2)'!H84</f>
        <v>0.13710868644722726</v>
      </c>
      <c r="H10" t="s">
        <v>27</v>
      </c>
    </row>
    <row r="11" spans="1:11" x14ac:dyDescent="0.35">
      <c r="A11" t="s">
        <v>23</v>
      </c>
      <c r="B11" t="s">
        <v>7</v>
      </c>
      <c r="C11" t="s">
        <v>29</v>
      </c>
      <c r="D11" t="s">
        <v>8</v>
      </c>
      <c r="E11">
        <v>2040</v>
      </c>
      <c r="F11" t="s">
        <v>9</v>
      </c>
      <c r="G11" s="19">
        <f>G10</f>
        <v>0.13710868644722726</v>
      </c>
      <c r="H11" t="s">
        <v>27</v>
      </c>
    </row>
    <row r="12" spans="1:11" x14ac:dyDescent="0.35">
      <c r="A12" t="s">
        <v>23</v>
      </c>
      <c r="B12" t="s">
        <v>7</v>
      </c>
      <c r="C12" t="s">
        <v>29</v>
      </c>
      <c r="D12" t="s">
        <v>8</v>
      </c>
      <c r="E12">
        <v>2045</v>
      </c>
      <c r="F12" t="s">
        <v>9</v>
      </c>
      <c r="G12" s="19">
        <f>G11</f>
        <v>0.13710868644722726</v>
      </c>
      <c r="H12" t="s">
        <v>27</v>
      </c>
    </row>
    <row r="13" spans="1:11" x14ac:dyDescent="0.35">
      <c r="A13" t="s">
        <v>23</v>
      </c>
      <c r="B13" t="s">
        <v>7</v>
      </c>
      <c r="C13" t="s">
        <v>29</v>
      </c>
      <c r="D13" t="s">
        <v>8</v>
      </c>
      <c r="E13">
        <v>2050</v>
      </c>
      <c r="F13" t="s">
        <v>9</v>
      </c>
      <c r="G13" s="19">
        <f>G12</f>
        <v>0.13710868644722726</v>
      </c>
      <c r="H13" t="s">
        <v>27</v>
      </c>
    </row>
    <row r="14" spans="1:11" x14ac:dyDescent="0.35">
      <c r="A14" t="s">
        <v>23</v>
      </c>
      <c r="B14" t="s">
        <v>7</v>
      </c>
      <c r="C14" t="s">
        <v>29</v>
      </c>
      <c r="D14" t="s">
        <v>8</v>
      </c>
      <c r="E14">
        <v>2015</v>
      </c>
      <c r="F14" t="s">
        <v>77</v>
      </c>
      <c r="G14" s="18">
        <f>'Calcs (2)'!H85</f>
        <v>1.8062427187860064E-3</v>
      </c>
      <c r="H14" t="s">
        <v>27</v>
      </c>
    </row>
    <row r="15" spans="1:11" x14ac:dyDescent="0.35">
      <c r="A15" t="s">
        <v>23</v>
      </c>
      <c r="B15" t="s">
        <v>7</v>
      </c>
      <c r="C15" t="s">
        <v>29</v>
      </c>
      <c r="D15" t="s">
        <v>8</v>
      </c>
      <c r="E15">
        <v>2020</v>
      </c>
      <c r="F15" t="s">
        <v>77</v>
      </c>
      <c r="G15" s="18">
        <f>'Calcs (2)'!H86</f>
        <v>1.2024940337201891E-3</v>
      </c>
      <c r="H15" t="s">
        <v>27</v>
      </c>
    </row>
    <row r="16" spans="1:11" x14ac:dyDescent="0.35">
      <c r="A16" t="s">
        <v>23</v>
      </c>
      <c r="B16" t="s">
        <v>7</v>
      </c>
      <c r="C16" t="s">
        <v>29</v>
      </c>
      <c r="D16" t="s">
        <v>8</v>
      </c>
      <c r="E16">
        <v>2025</v>
      </c>
      <c r="F16" t="s">
        <v>77</v>
      </c>
      <c r="G16" s="18">
        <f>'Calcs (2)'!H87</f>
        <v>4.5424122720305013E-4</v>
      </c>
      <c r="H16" t="s">
        <v>27</v>
      </c>
    </row>
    <row r="17" spans="1:8" x14ac:dyDescent="0.35">
      <c r="A17" t="s">
        <v>23</v>
      </c>
      <c r="B17" t="s">
        <v>7</v>
      </c>
      <c r="C17" t="s">
        <v>29</v>
      </c>
      <c r="D17" t="s">
        <v>8</v>
      </c>
      <c r="E17">
        <v>2030</v>
      </c>
      <c r="F17" t="s">
        <v>77</v>
      </c>
      <c r="G17" s="18">
        <f>'Calcs (2)'!H88</f>
        <v>4.7844654937828981E-4</v>
      </c>
      <c r="H17" t="s">
        <v>27</v>
      </c>
    </row>
    <row r="18" spans="1:8" x14ac:dyDescent="0.35">
      <c r="A18" t="s">
        <v>23</v>
      </c>
      <c r="B18" t="s">
        <v>7</v>
      </c>
      <c r="C18" t="s">
        <v>29</v>
      </c>
      <c r="D18" t="s">
        <v>8</v>
      </c>
      <c r="E18">
        <v>2035</v>
      </c>
      <c r="F18" t="s">
        <v>77</v>
      </c>
      <c r="G18" s="18">
        <f>'Calcs (2)'!H89</f>
        <v>4.2774508935034276E-4</v>
      </c>
      <c r="H18" t="s">
        <v>27</v>
      </c>
    </row>
    <row r="19" spans="1:8" x14ac:dyDescent="0.35">
      <c r="A19" t="s">
        <v>23</v>
      </c>
      <c r="B19" t="s">
        <v>7</v>
      </c>
      <c r="C19" t="s">
        <v>29</v>
      </c>
      <c r="D19" t="s">
        <v>8</v>
      </c>
      <c r="E19">
        <v>2040</v>
      </c>
      <c r="F19" t="s">
        <v>77</v>
      </c>
      <c r="G19" s="19">
        <f>G18</f>
        <v>4.2774508935034276E-4</v>
      </c>
      <c r="H19" t="s">
        <v>27</v>
      </c>
    </row>
    <row r="20" spans="1:8" x14ac:dyDescent="0.35">
      <c r="A20" t="s">
        <v>23</v>
      </c>
      <c r="B20" t="s">
        <v>7</v>
      </c>
      <c r="C20" t="s">
        <v>29</v>
      </c>
      <c r="D20" t="s">
        <v>8</v>
      </c>
      <c r="E20">
        <v>2045</v>
      </c>
      <c r="F20" t="s">
        <v>77</v>
      </c>
      <c r="G20" s="19">
        <f>G19</f>
        <v>4.2774508935034276E-4</v>
      </c>
      <c r="H20" t="s">
        <v>27</v>
      </c>
    </row>
    <row r="21" spans="1:8" x14ac:dyDescent="0.35">
      <c r="A21" t="s">
        <v>23</v>
      </c>
      <c r="B21" t="s">
        <v>7</v>
      </c>
      <c r="C21" t="s">
        <v>29</v>
      </c>
      <c r="D21" t="s">
        <v>8</v>
      </c>
      <c r="E21">
        <v>2050</v>
      </c>
      <c r="F21" t="s">
        <v>77</v>
      </c>
      <c r="G21" s="19">
        <f>G20</f>
        <v>4.2774508935034276E-4</v>
      </c>
      <c r="H21" t="s">
        <v>27</v>
      </c>
    </row>
    <row r="22" spans="1:8" x14ac:dyDescent="0.35">
      <c r="A22" t="s">
        <v>23</v>
      </c>
      <c r="B22" t="s">
        <v>7</v>
      </c>
      <c r="C22" t="s">
        <v>29</v>
      </c>
      <c r="D22" t="s">
        <v>8</v>
      </c>
      <c r="E22">
        <v>2015</v>
      </c>
      <c r="F22" t="s">
        <v>22</v>
      </c>
      <c r="G22" s="18">
        <f>'Calcs (2)'!H95</f>
        <v>1.2613913232195064E-2</v>
      </c>
      <c r="H22" t="s">
        <v>27</v>
      </c>
    </row>
    <row r="23" spans="1:8" x14ac:dyDescent="0.35">
      <c r="A23" t="s">
        <v>23</v>
      </c>
      <c r="B23" t="s">
        <v>7</v>
      </c>
      <c r="C23" t="s">
        <v>29</v>
      </c>
      <c r="D23" t="s">
        <v>8</v>
      </c>
      <c r="E23">
        <v>2020</v>
      </c>
      <c r="F23" t="s">
        <v>22</v>
      </c>
      <c r="G23" s="18">
        <f>'Calcs (2)'!H96</f>
        <v>9.7041227691695257E-3</v>
      </c>
      <c r="H23" t="s">
        <v>27</v>
      </c>
    </row>
    <row r="24" spans="1:8" x14ac:dyDescent="0.35">
      <c r="A24" t="s">
        <v>23</v>
      </c>
      <c r="B24" t="s">
        <v>7</v>
      </c>
      <c r="C24" t="s">
        <v>29</v>
      </c>
      <c r="D24" t="s">
        <v>8</v>
      </c>
      <c r="E24">
        <v>2025</v>
      </c>
      <c r="F24" t="s">
        <v>22</v>
      </c>
      <c r="G24" s="18">
        <f>'Calcs (2)'!H97</f>
        <v>5.9534454482410241E-3</v>
      </c>
      <c r="H24" t="s">
        <v>27</v>
      </c>
    </row>
    <row r="25" spans="1:8" x14ac:dyDescent="0.35">
      <c r="A25" t="s">
        <v>23</v>
      </c>
      <c r="B25" t="s">
        <v>7</v>
      </c>
      <c r="C25" t="s">
        <v>29</v>
      </c>
      <c r="D25" t="s">
        <v>8</v>
      </c>
      <c r="E25">
        <v>2030</v>
      </c>
      <c r="F25" t="s">
        <v>22</v>
      </c>
      <c r="G25" s="18">
        <f>'Calcs (2)'!H98</f>
        <v>4.9598167182386419E-3</v>
      </c>
      <c r="H25" t="s">
        <v>27</v>
      </c>
    </row>
    <row r="26" spans="1:8" x14ac:dyDescent="0.35">
      <c r="A26" t="s">
        <v>23</v>
      </c>
      <c r="B26" t="s">
        <v>7</v>
      </c>
      <c r="C26" t="s">
        <v>29</v>
      </c>
      <c r="D26" t="s">
        <v>8</v>
      </c>
      <c r="E26">
        <v>2035</v>
      </c>
      <c r="F26" t="s">
        <v>22</v>
      </c>
      <c r="G26" s="18">
        <f>'Calcs (2)'!H99</f>
        <v>3.7390041639635699E-3</v>
      </c>
      <c r="H26" t="s">
        <v>27</v>
      </c>
    </row>
    <row r="27" spans="1:8" x14ac:dyDescent="0.35">
      <c r="A27" t="s">
        <v>23</v>
      </c>
      <c r="B27" t="s">
        <v>7</v>
      </c>
      <c r="C27" t="s">
        <v>29</v>
      </c>
      <c r="D27" t="s">
        <v>8</v>
      </c>
      <c r="E27">
        <v>2040</v>
      </c>
      <c r="F27" t="s">
        <v>22</v>
      </c>
      <c r="G27" s="19">
        <f>G26</f>
        <v>3.7390041639635699E-3</v>
      </c>
      <c r="H27" t="s">
        <v>27</v>
      </c>
    </row>
    <row r="28" spans="1:8" x14ac:dyDescent="0.35">
      <c r="A28" t="s">
        <v>23</v>
      </c>
      <c r="B28" t="s">
        <v>7</v>
      </c>
      <c r="C28" t="s">
        <v>29</v>
      </c>
      <c r="D28" t="s">
        <v>8</v>
      </c>
      <c r="E28">
        <v>2045</v>
      </c>
      <c r="F28" t="s">
        <v>22</v>
      </c>
      <c r="G28" s="19">
        <f>G27</f>
        <v>3.7390041639635699E-3</v>
      </c>
      <c r="H28" t="s">
        <v>27</v>
      </c>
    </row>
    <row r="29" spans="1:8" x14ac:dyDescent="0.35">
      <c r="A29" t="s">
        <v>23</v>
      </c>
      <c r="B29" t="s">
        <v>7</v>
      </c>
      <c r="C29" t="s">
        <v>29</v>
      </c>
      <c r="D29" t="s">
        <v>8</v>
      </c>
      <c r="E29">
        <v>2050</v>
      </c>
      <c r="F29" t="s">
        <v>22</v>
      </c>
      <c r="G29" s="19">
        <f>G28</f>
        <v>3.7390041639635699E-3</v>
      </c>
      <c r="H29" t="s">
        <v>27</v>
      </c>
    </row>
    <row r="30" spans="1:8" x14ac:dyDescent="0.35">
      <c r="A30" t="s">
        <v>23</v>
      </c>
      <c r="B30" t="s">
        <v>7</v>
      </c>
      <c r="C30" t="s">
        <v>29</v>
      </c>
      <c r="D30" t="s">
        <v>8</v>
      </c>
      <c r="E30">
        <v>2015</v>
      </c>
      <c r="F30" t="s">
        <v>17</v>
      </c>
      <c r="G30" s="18">
        <f>'Calcs (2)'!H90</f>
        <v>1.222530013274194E-2</v>
      </c>
      <c r="H30" t="s">
        <v>27</v>
      </c>
    </row>
    <row r="31" spans="1:8" x14ac:dyDescent="0.35">
      <c r="A31" t="s">
        <v>23</v>
      </c>
      <c r="B31" t="s">
        <v>7</v>
      </c>
      <c r="C31" t="s">
        <v>29</v>
      </c>
      <c r="D31" t="s">
        <v>8</v>
      </c>
      <c r="E31">
        <v>2020</v>
      </c>
      <c r="F31" t="s">
        <v>17</v>
      </c>
      <c r="G31" s="18">
        <f>'Calcs (2)'!H91</f>
        <v>9.4051621963805107E-3</v>
      </c>
      <c r="H31" t="s">
        <v>27</v>
      </c>
    </row>
    <row r="32" spans="1:8" x14ac:dyDescent="0.35">
      <c r="A32" t="s">
        <v>23</v>
      </c>
      <c r="B32" t="s">
        <v>7</v>
      </c>
      <c r="C32" t="s">
        <v>29</v>
      </c>
      <c r="D32" t="s">
        <v>8</v>
      </c>
      <c r="E32">
        <v>2025</v>
      </c>
      <c r="F32" t="s">
        <v>17</v>
      </c>
      <c r="G32" s="18">
        <f>'Calcs (2)'!H92</f>
        <v>5.7700445716361614E-3</v>
      </c>
      <c r="H32" t="s">
        <v>27</v>
      </c>
    </row>
    <row r="33" spans="1:8" x14ac:dyDescent="0.35">
      <c r="A33" t="s">
        <v>23</v>
      </c>
      <c r="B33" t="s">
        <v>7</v>
      </c>
      <c r="C33" t="s">
        <v>29</v>
      </c>
      <c r="D33" t="s">
        <v>8</v>
      </c>
      <c r="E33">
        <v>2030</v>
      </c>
      <c r="F33" t="s">
        <v>17</v>
      </c>
      <c r="G33" s="18">
        <f>'Calcs (2)'!H93</f>
        <v>4.8070371158942327E-3</v>
      </c>
      <c r="H33" t="s">
        <v>27</v>
      </c>
    </row>
    <row r="34" spans="1:8" x14ac:dyDescent="0.35">
      <c r="A34" t="s">
        <v>23</v>
      </c>
      <c r="B34" t="s">
        <v>7</v>
      </c>
      <c r="C34" t="s">
        <v>29</v>
      </c>
      <c r="D34" t="s">
        <v>8</v>
      </c>
      <c r="E34">
        <v>2035</v>
      </c>
      <c r="F34" t="s">
        <v>17</v>
      </c>
      <c r="G34" s="18">
        <f>'Calcs (2)'!H94</f>
        <v>3.6238464133732844E-3</v>
      </c>
      <c r="H34" t="s">
        <v>27</v>
      </c>
    </row>
    <row r="35" spans="1:8" x14ac:dyDescent="0.35">
      <c r="A35" t="s">
        <v>23</v>
      </c>
      <c r="B35" t="s">
        <v>7</v>
      </c>
      <c r="C35" t="s">
        <v>29</v>
      </c>
      <c r="D35" t="s">
        <v>8</v>
      </c>
      <c r="E35">
        <v>2040</v>
      </c>
      <c r="F35" t="s">
        <v>17</v>
      </c>
      <c r="G35" s="19">
        <f>G34</f>
        <v>3.6238464133732844E-3</v>
      </c>
      <c r="H35" t="s">
        <v>27</v>
      </c>
    </row>
    <row r="36" spans="1:8" x14ac:dyDescent="0.35">
      <c r="A36" t="s">
        <v>23</v>
      </c>
      <c r="B36" t="s">
        <v>7</v>
      </c>
      <c r="C36" t="s">
        <v>29</v>
      </c>
      <c r="D36" t="s">
        <v>8</v>
      </c>
      <c r="E36">
        <v>2045</v>
      </c>
      <c r="F36" t="s">
        <v>17</v>
      </c>
      <c r="G36" s="19">
        <f>G35</f>
        <v>3.6238464133732844E-3</v>
      </c>
      <c r="H36" t="s">
        <v>27</v>
      </c>
    </row>
    <row r="37" spans="1:8" x14ac:dyDescent="0.35">
      <c r="A37" t="s">
        <v>23</v>
      </c>
      <c r="B37" t="s">
        <v>7</v>
      </c>
      <c r="C37" t="s">
        <v>29</v>
      </c>
      <c r="D37" t="s">
        <v>8</v>
      </c>
      <c r="E37">
        <v>2050</v>
      </c>
      <c r="F37" t="s">
        <v>17</v>
      </c>
      <c r="G37" s="19">
        <f>G36</f>
        <v>3.6238464133732844E-3</v>
      </c>
      <c r="H37" t="s">
        <v>27</v>
      </c>
    </row>
    <row r="38" spans="1:8" x14ac:dyDescent="0.35">
      <c r="A38" t="s">
        <v>23</v>
      </c>
      <c r="B38" t="s">
        <v>7</v>
      </c>
      <c r="C38" t="s">
        <v>29</v>
      </c>
      <c r="D38" t="s">
        <v>8</v>
      </c>
      <c r="E38">
        <v>2015</v>
      </c>
      <c r="F38" t="s">
        <v>21</v>
      </c>
      <c r="G38" s="18">
        <f>'Calcs (2)'!H100</f>
        <v>1.8196297645206198E-2</v>
      </c>
      <c r="H38" t="s">
        <v>27</v>
      </c>
    </row>
    <row r="39" spans="1:8" x14ac:dyDescent="0.35">
      <c r="A39" t="s">
        <v>23</v>
      </c>
      <c r="B39" t="s">
        <v>7</v>
      </c>
      <c r="C39" t="s">
        <v>29</v>
      </c>
      <c r="D39" t="s">
        <v>8</v>
      </c>
      <c r="E39">
        <v>2020</v>
      </c>
      <c r="F39" t="s">
        <v>21</v>
      </c>
      <c r="G39" s="18">
        <f>'Calcs (2)'!H101</f>
        <v>1.3827664518154887E-2</v>
      </c>
      <c r="H39" t="s">
        <v>27</v>
      </c>
    </row>
    <row r="40" spans="1:8" x14ac:dyDescent="0.35">
      <c r="A40" t="s">
        <v>23</v>
      </c>
      <c r="B40" t="s">
        <v>7</v>
      </c>
      <c r="C40" t="s">
        <v>29</v>
      </c>
      <c r="D40" t="s">
        <v>8</v>
      </c>
      <c r="E40">
        <v>2025</v>
      </c>
      <c r="F40" t="s">
        <v>21</v>
      </c>
      <c r="G40" s="18">
        <f>'Calcs (2)'!H102</f>
        <v>8.2239691467738841E-3</v>
      </c>
      <c r="H40" t="s">
        <v>27</v>
      </c>
    </row>
    <row r="41" spans="1:8" x14ac:dyDescent="0.35">
      <c r="A41" t="s">
        <v>23</v>
      </c>
      <c r="B41" t="s">
        <v>7</v>
      </c>
      <c r="C41" t="s">
        <v>29</v>
      </c>
      <c r="D41" t="s">
        <v>8</v>
      </c>
      <c r="E41">
        <v>2030</v>
      </c>
      <c r="F41" t="s">
        <v>21</v>
      </c>
      <c r="G41" s="18">
        <f>'Calcs (2)'!H103</f>
        <v>6.9646918109466504E-3</v>
      </c>
      <c r="H41" t="s">
        <v>27</v>
      </c>
    </row>
    <row r="42" spans="1:8" x14ac:dyDescent="0.35">
      <c r="A42" t="s">
        <v>23</v>
      </c>
      <c r="B42" t="s">
        <v>7</v>
      </c>
      <c r="C42" t="s">
        <v>29</v>
      </c>
      <c r="D42" t="s">
        <v>8</v>
      </c>
      <c r="E42">
        <v>2035</v>
      </c>
      <c r="F42" t="s">
        <v>21</v>
      </c>
      <c r="G42" s="18">
        <f>'Calcs (2)'!H104</f>
        <v>5.3387634684160896E-3</v>
      </c>
      <c r="H42" t="s">
        <v>27</v>
      </c>
    </row>
    <row r="43" spans="1:8" x14ac:dyDescent="0.35">
      <c r="A43" t="s">
        <v>23</v>
      </c>
      <c r="B43" t="s">
        <v>7</v>
      </c>
      <c r="C43" t="s">
        <v>29</v>
      </c>
      <c r="D43" t="s">
        <v>8</v>
      </c>
      <c r="E43">
        <v>2040</v>
      </c>
      <c r="F43" t="s">
        <v>21</v>
      </c>
      <c r="G43" s="19">
        <f>G42</f>
        <v>5.3387634684160896E-3</v>
      </c>
      <c r="H43" t="s">
        <v>27</v>
      </c>
    </row>
    <row r="44" spans="1:8" x14ac:dyDescent="0.35">
      <c r="A44" t="s">
        <v>23</v>
      </c>
      <c r="B44" t="s">
        <v>7</v>
      </c>
      <c r="C44" t="s">
        <v>29</v>
      </c>
      <c r="D44" t="s">
        <v>8</v>
      </c>
      <c r="E44">
        <v>2045</v>
      </c>
      <c r="F44" t="s">
        <v>21</v>
      </c>
      <c r="G44" s="19">
        <f>G43</f>
        <v>5.3387634684160896E-3</v>
      </c>
      <c r="H44" t="s">
        <v>27</v>
      </c>
    </row>
    <row r="45" spans="1:8" x14ac:dyDescent="0.35">
      <c r="A45" t="s">
        <v>23</v>
      </c>
      <c r="B45" t="s">
        <v>7</v>
      </c>
      <c r="C45" t="s">
        <v>29</v>
      </c>
      <c r="D45" t="s">
        <v>8</v>
      </c>
      <c r="E45">
        <v>2050</v>
      </c>
      <c r="F45" t="s">
        <v>21</v>
      </c>
      <c r="G45" s="19">
        <f>G44</f>
        <v>5.3387634684160896E-3</v>
      </c>
      <c r="H45" t="s">
        <v>27</v>
      </c>
    </row>
    <row r="46" spans="1:8" x14ac:dyDescent="0.35">
      <c r="A46" t="s">
        <v>23</v>
      </c>
      <c r="B46" t="s">
        <v>7</v>
      </c>
      <c r="C46" t="s">
        <v>29</v>
      </c>
      <c r="D46" t="s">
        <v>8</v>
      </c>
      <c r="E46">
        <v>2015</v>
      </c>
      <c r="F46" t="s">
        <v>30</v>
      </c>
      <c r="G46" s="18">
        <f>'Calcs (2)'!H105</f>
        <v>6.435302385409411E-2</v>
      </c>
      <c r="H46" t="s">
        <v>27</v>
      </c>
    </row>
    <row r="47" spans="1:8" x14ac:dyDescent="0.35">
      <c r="A47" t="s">
        <v>23</v>
      </c>
      <c r="B47" t="s">
        <v>7</v>
      </c>
      <c r="C47" t="s">
        <v>29</v>
      </c>
      <c r="D47" t="s">
        <v>8</v>
      </c>
      <c r="E47">
        <v>2020</v>
      </c>
      <c r="F47" t="s">
        <v>30</v>
      </c>
      <c r="G47" s="18">
        <f>'Calcs (2)'!H106</f>
        <v>6.0740933128669614E-2</v>
      </c>
      <c r="H47" t="s">
        <v>27</v>
      </c>
    </row>
    <row r="48" spans="1:8" x14ac:dyDescent="0.35">
      <c r="A48" t="s">
        <v>23</v>
      </c>
      <c r="B48" t="s">
        <v>7</v>
      </c>
      <c r="C48" t="s">
        <v>29</v>
      </c>
      <c r="D48" t="s">
        <v>8</v>
      </c>
      <c r="E48">
        <v>2025</v>
      </c>
      <c r="F48" t="s">
        <v>30</v>
      </c>
      <c r="G48" s="18">
        <f>'Calcs (2)'!H107</f>
        <v>5.4285500257797291E-2</v>
      </c>
      <c r="H48" t="s">
        <v>27</v>
      </c>
    </row>
    <row r="49" spans="1:8" x14ac:dyDescent="0.35">
      <c r="A49" t="s">
        <v>23</v>
      </c>
      <c r="B49" t="s">
        <v>7</v>
      </c>
      <c r="C49" t="s">
        <v>29</v>
      </c>
      <c r="D49" t="s">
        <v>8</v>
      </c>
      <c r="E49">
        <v>2030</v>
      </c>
      <c r="F49" t="s">
        <v>30</v>
      </c>
      <c r="G49" s="18">
        <f>'Calcs (2)'!H108</f>
        <v>4.8100222986232725E-2</v>
      </c>
      <c r="H49" t="s">
        <v>27</v>
      </c>
    </row>
    <row r="50" spans="1:8" x14ac:dyDescent="0.35">
      <c r="A50" t="s">
        <v>23</v>
      </c>
      <c r="B50" t="s">
        <v>7</v>
      </c>
      <c r="C50" t="s">
        <v>29</v>
      </c>
      <c r="D50" t="s">
        <v>8</v>
      </c>
      <c r="E50">
        <v>2035</v>
      </c>
      <c r="F50" t="s">
        <v>30</v>
      </c>
      <c r="G50" s="18">
        <f>'Calcs (2)'!H109</f>
        <v>4.3230350561276942E-2</v>
      </c>
      <c r="H50" t="s">
        <v>27</v>
      </c>
    </row>
    <row r="51" spans="1:8" x14ac:dyDescent="0.35">
      <c r="A51" t="s">
        <v>23</v>
      </c>
      <c r="B51" t="s">
        <v>7</v>
      </c>
      <c r="C51" t="s">
        <v>29</v>
      </c>
      <c r="D51" t="s">
        <v>8</v>
      </c>
      <c r="E51">
        <v>2040</v>
      </c>
      <c r="F51" t="s">
        <v>30</v>
      </c>
      <c r="G51" s="19">
        <f>G50</f>
        <v>4.3230350561276942E-2</v>
      </c>
      <c r="H51" t="s">
        <v>27</v>
      </c>
    </row>
    <row r="52" spans="1:8" x14ac:dyDescent="0.35">
      <c r="A52" t="s">
        <v>23</v>
      </c>
      <c r="B52" t="s">
        <v>7</v>
      </c>
      <c r="C52" t="s">
        <v>29</v>
      </c>
      <c r="D52" t="s">
        <v>8</v>
      </c>
      <c r="E52">
        <v>2045</v>
      </c>
      <c r="F52" t="s">
        <v>30</v>
      </c>
      <c r="G52" s="19">
        <f>G51</f>
        <v>4.3230350561276942E-2</v>
      </c>
      <c r="H52" t="s">
        <v>27</v>
      </c>
    </row>
    <row r="53" spans="1:8" x14ac:dyDescent="0.35">
      <c r="A53" t="s">
        <v>23</v>
      </c>
      <c r="B53" t="s">
        <v>7</v>
      </c>
      <c r="C53" t="s">
        <v>29</v>
      </c>
      <c r="D53" t="s">
        <v>8</v>
      </c>
      <c r="E53">
        <v>2050</v>
      </c>
      <c r="F53" t="s">
        <v>30</v>
      </c>
      <c r="G53" s="19">
        <f>G52</f>
        <v>4.3230350561276942E-2</v>
      </c>
      <c r="H53" t="s">
        <v>27</v>
      </c>
    </row>
    <row r="54" spans="1:8" x14ac:dyDescent="0.35">
      <c r="A54" t="s">
        <v>23</v>
      </c>
      <c r="B54" t="s">
        <v>7</v>
      </c>
      <c r="C54" t="s">
        <v>29</v>
      </c>
      <c r="D54" t="s">
        <v>10</v>
      </c>
      <c r="E54">
        <v>2015</v>
      </c>
      <c r="F54" t="s">
        <v>9</v>
      </c>
      <c r="G54" s="18">
        <f>'Calcs (2)'!H80</f>
        <v>0.46064988069532392</v>
      </c>
      <c r="H54" t="s">
        <v>27</v>
      </c>
    </row>
    <row r="55" spans="1:8" x14ac:dyDescent="0.35">
      <c r="A55" t="s">
        <v>23</v>
      </c>
      <c r="B55" t="s">
        <v>7</v>
      </c>
      <c r="C55" t="s">
        <v>29</v>
      </c>
      <c r="D55" t="s">
        <v>10</v>
      </c>
      <c r="E55">
        <v>2020</v>
      </c>
      <c r="F55" t="s">
        <v>9</v>
      </c>
      <c r="G55" s="18">
        <f>'Calcs (2)'!H81</f>
        <v>0.35403140459664967</v>
      </c>
      <c r="H55" t="s">
        <v>27</v>
      </c>
    </row>
    <row r="56" spans="1:8" x14ac:dyDescent="0.35">
      <c r="A56" t="s">
        <v>23</v>
      </c>
      <c r="B56" t="s">
        <v>7</v>
      </c>
      <c r="C56" t="s">
        <v>29</v>
      </c>
      <c r="D56" t="s">
        <v>10</v>
      </c>
      <c r="E56">
        <v>2025</v>
      </c>
      <c r="F56" t="s">
        <v>9</v>
      </c>
      <c r="G56" s="18">
        <f>'Calcs (2)'!H82</f>
        <v>0.21665866604053954</v>
      </c>
      <c r="H56" t="s">
        <v>27</v>
      </c>
    </row>
    <row r="57" spans="1:8" x14ac:dyDescent="0.35">
      <c r="A57" t="s">
        <v>23</v>
      </c>
      <c r="B57" t="s">
        <v>7</v>
      </c>
      <c r="C57" t="s">
        <v>29</v>
      </c>
      <c r="D57" t="s">
        <v>10</v>
      </c>
      <c r="E57">
        <v>2030</v>
      </c>
      <c r="F57" t="s">
        <v>9</v>
      </c>
      <c r="G57" s="18">
        <f>'Calcs (2)'!H83</f>
        <v>0.18107371456742175</v>
      </c>
      <c r="H57" t="s">
        <v>27</v>
      </c>
    </row>
    <row r="58" spans="1:8" x14ac:dyDescent="0.35">
      <c r="A58" t="s">
        <v>23</v>
      </c>
      <c r="B58" t="s">
        <v>7</v>
      </c>
      <c r="C58" t="s">
        <v>29</v>
      </c>
      <c r="D58" t="s">
        <v>10</v>
      </c>
      <c r="E58">
        <v>2035</v>
      </c>
      <c r="F58" t="s">
        <v>9</v>
      </c>
      <c r="G58" s="18">
        <f>'Calcs (2)'!H84</f>
        <v>0.13710868644722726</v>
      </c>
      <c r="H58" t="s">
        <v>27</v>
      </c>
    </row>
    <row r="59" spans="1:8" x14ac:dyDescent="0.35">
      <c r="A59" t="s">
        <v>23</v>
      </c>
      <c r="B59" t="s">
        <v>7</v>
      </c>
      <c r="C59" t="s">
        <v>29</v>
      </c>
      <c r="D59" t="s">
        <v>10</v>
      </c>
      <c r="E59">
        <v>2040</v>
      </c>
      <c r="F59" t="s">
        <v>9</v>
      </c>
      <c r="G59" s="19">
        <f>G58</f>
        <v>0.13710868644722726</v>
      </c>
      <c r="H59" t="s">
        <v>27</v>
      </c>
    </row>
    <row r="60" spans="1:8" x14ac:dyDescent="0.35">
      <c r="A60" t="s">
        <v>23</v>
      </c>
      <c r="B60" t="s">
        <v>7</v>
      </c>
      <c r="C60" t="s">
        <v>29</v>
      </c>
      <c r="D60" t="s">
        <v>10</v>
      </c>
      <c r="E60">
        <v>2045</v>
      </c>
      <c r="F60" t="s">
        <v>9</v>
      </c>
      <c r="G60" s="19">
        <f>G59</f>
        <v>0.13710868644722726</v>
      </c>
      <c r="H60" t="s">
        <v>27</v>
      </c>
    </row>
    <row r="61" spans="1:8" x14ac:dyDescent="0.35">
      <c r="A61" t="s">
        <v>23</v>
      </c>
      <c r="B61" t="s">
        <v>7</v>
      </c>
      <c r="C61" t="s">
        <v>29</v>
      </c>
      <c r="D61" t="s">
        <v>10</v>
      </c>
      <c r="E61">
        <v>2050</v>
      </c>
      <c r="F61" t="s">
        <v>9</v>
      </c>
      <c r="G61" s="19">
        <f>G60</f>
        <v>0.13710868644722726</v>
      </c>
      <c r="H61" t="s">
        <v>27</v>
      </c>
    </row>
    <row r="62" spans="1:8" x14ac:dyDescent="0.35">
      <c r="A62" t="s">
        <v>23</v>
      </c>
      <c r="B62" t="s">
        <v>7</v>
      </c>
      <c r="C62" t="s">
        <v>29</v>
      </c>
      <c r="D62" t="s">
        <v>10</v>
      </c>
      <c r="E62">
        <v>2015</v>
      </c>
      <c r="F62" t="s">
        <v>77</v>
      </c>
      <c r="G62" s="18">
        <f>'Calcs (2)'!H85</f>
        <v>1.8062427187860064E-3</v>
      </c>
      <c r="H62" t="s">
        <v>27</v>
      </c>
    </row>
    <row r="63" spans="1:8" x14ac:dyDescent="0.35">
      <c r="A63" t="s">
        <v>23</v>
      </c>
      <c r="B63" t="s">
        <v>7</v>
      </c>
      <c r="C63" t="s">
        <v>29</v>
      </c>
      <c r="D63" t="s">
        <v>10</v>
      </c>
      <c r="E63">
        <v>2020</v>
      </c>
      <c r="F63" t="s">
        <v>77</v>
      </c>
      <c r="G63" s="18">
        <f>'Calcs (2)'!H86</f>
        <v>1.2024940337201891E-3</v>
      </c>
      <c r="H63" t="s">
        <v>27</v>
      </c>
    </row>
    <row r="64" spans="1:8" x14ac:dyDescent="0.35">
      <c r="A64" t="s">
        <v>23</v>
      </c>
      <c r="B64" t="s">
        <v>7</v>
      </c>
      <c r="C64" t="s">
        <v>29</v>
      </c>
      <c r="D64" t="s">
        <v>10</v>
      </c>
      <c r="E64">
        <v>2025</v>
      </c>
      <c r="F64" t="s">
        <v>77</v>
      </c>
      <c r="G64" s="18">
        <f>'Calcs (2)'!H87</f>
        <v>4.5424122720305013E-4</v>
      </c>
      <c r="H64" t="s">
        <v>27</v>
      </c>
    </row>
    <row r="65" spans="1:8" x14ac:dyDescent="0.35">
      <c r="A65" t="s">
        <v>23</v>
      </c>
      <c r="B65" t="s">
        <v>7</v>
      </c>
      <c r="C65" t="s">
        <v>29</v>
      </c>
      <c r="D65" t="s">
        <v>10</v>
      </c>
      <c r="E65">
        <v>2030</v>
      </c>
      <c r="F65" t="s">
        <v>77</v>
      </c>
      <c r="G65" s="18">
        <f>'Calcs (2)'!H88</f>
        <v>4.7844654937828981E-4</v>
      </c>
      <c r="H65" t="s">
        <v>27</v>
      </c>
    </row>
    <row r="66" spans="1:8" x14ac:dyDescent="0.35">
      <c r="A66" t="s">
        <v>23</v>
      </c>
      <c r="B66" t="s">
        <v>7</v>
      </c>
      <c r="C66" t="s">
        <v>29</v>
      </c>
      <c r="D66" t="s">
        <v>10</v>
      </c>
      <c r="E66">
        <v>2035</v>
      </c>
      <c r="F66" t="s">
        <v>77</v>
      </c>
      <c r="G66" s="18">
        <f>'Calcs (2)'!H89</f>
        <v>4.2774508935034276E-4</v>
      </c>
      <c r="H66" t="s">
        <v>27</v>
      </c>
    </row>
    <row r="67" spans="1:8" x14ac:dyDescent="0.35">
      <c r="A67" t="s">
        <v>23</v>
      </c>
      <c r="B67" t="s">
        <v>7</v>
      </c>
      <c r="C67" t="s">
        <v>29</v>
      </c>
      <c r="D67" t="s">
        <v>10</v>
      </c>
      <c r="E67">
        <v>2040</v>
      </c>
      <c r="F67" t="s">
        <v>77</v>
      </c>
      <c r="G67" s="19">
        <f>G66</f>
        <v>4.2774508935034276E-4</v>
      </c>
      <c r="H67" t="s">
        <v>27</v>
      </c>
    </row>
    <row r="68" spans="1:8" x14ac:dyDescent="0.35">
      <c r="A68" t="s">
        <v>23</v>
      </c>
      <c r="B68" t="s">
        <v>7</v>
      </c>
      <c r="C68" t="s">
        <v>29</v>
      </c>
      <c r="D68" t="s">
        <v>10</v>
      </c>
      <c r="E68">
        <v>2045</v>
      </c>
      <c r="F68" t="s">
        <v>77</v>
      </c>
      <c r="G68" s="19">
        <f>G67</f>
        <v>4.2774508935034276E-4</v>
      </c>
      <c r="H68" t="s">
        <v>27</v>
      </c>
    </row>
    <row r="69" spans="1:8" x14ac:dyDescent="0.35">
      <c r="A69" t="s">
        <v>23</v>
      </c>
      <c r="B69" t="s">
        <v>7</v>
      </c>
      <c r="C69" t="s">
        <v>29</v>
      </c>
      <c r="D69" t="s">
        <v>10</v>
      </c>
      <c r="E69">
        <v>2050</v>
      </c>
      <c r="F69" t="s">
        <v>77</v>
      </c>
      <c r="G69" s="19">
        <f>G68</f>
        <v>4.2774508935034276E-4</v>
      </c>
      <c r="H69" t="s">
        <v>27</v>
      </c>
    </row>
    <row r="70" spans="1:8" x14ac:dyDescent="0.35">
      <c r="A70" t="s">
        <v>23</v>
      </c>
      <c r="B70" t="s">
        <v>7</v>
      </c>
      <c r="C70" t="s">
        <v>29</v>
      </c>
      <c r="D70" t="s">
        <v>10</v>
      </c>
      <c r="E70">
        <v>2015</v>
      </c>
      <c r="F70" t="s">
        <v>22</v>
      </c>
      <c r="G70" s="18">
        <f>'Calcs (2)'!H95</f>
        <v>1.2613913232195064E-2</v>
      </c>
      <c r="H70" t="s">
        <v>27</v>
      </c>
    </row>
    <row r="71" spans="1:8" x14ac:dyDescent="0.35">
      <c r="A71" t="s">
        <v>23</v>
      </c>
      <c r="B71" t="s">
        <v>7</v>
      </c>
      <c r="C71" t="s">
        <v>29</v>
      </c>
      <c r="D71" t="s">
        <v>10</v>
      </c>
      <c r="E71">
        <v>2020</v>
      </c>
      <c r="F71" t="s">
        <v>22</v>
      </c>
      <c r="G71" s="18">
        <f>'Calcs (2)'!H96</f>
        <v>9.7041227691695257E-3</v>
      </c>
      <c r="H71" t="s">
        <v>27</v>
      </c>
    </row>
    <row r="72" spans="1:8" x14ac:dyDescent="0.35">
      <c r="A72" t="s">
        <v>23</v>
      </c>
      <c r="B72" t="s">
        <v>7</v>
      </c>
      <c r="C72" t="s">
        <v>29</v>
      </c>
      <c r="D72" t="s">
        <v>10</v>
      </c>
      <c r="E72">
        <v>2025</v>
      </c>
      <c r="F72" t="s">
        <v>22</v>
      </c>
      <c r="G72" s="18">
        <f>'Calcs (2)'!H97</f>
        <v>5.9534454482410241E-3</v>
      </c>
      <c r="H72" t="s">
        <v>27</v>
      </c>
    </row>
    <row r="73" spans="1:8" x14ac:dyDescent="0.35">
      <c r="A73" t="s">
        <v>23</v>
      </c>
      <c r="B73" t="s">
        <v>7</v>
      </c>
      <c r="C73" t="s">
        <v>29</v>
      </c>
      <c r="D73" t="s">
        <v>10</v>
      </c>
      <c r="E73">
        <v>2030</v>
      </c>
      <c r="F73" t="s">
        <v>22</v>
      </c>
      <c r="G73" s="18">
        <f>'Calcs (2)'!H98</f>
        <v>4.9598167182386419E-3</v>
      </c>
      <c r="H73" t="s">
        <v>27</v>
      </c>
    </row>
    <row r="74" spans="1:8" x14ac:dyDescent="0.35">
      <c r="A74" t="s">
        <v>23</v>
      </c>
      <c r="B74" t="s">
        <v>7</v>
      </c>
      <c r="C74" t="s">
        <v>29</v>
      </c>
      <c r="D74" t="s">
        <v>10</v>
      </c>
      <c r="E74">
        <v>2035</v>
      </c>
      <c r="F74" t="s">
        <v>22</v>
      </c>
      <c r="G74" s="18">
        <f>'Calcs (2)'!H99</f>
        <v>3.7390041639635699E-3</v>
      </c>
      <c r="H74" t="s">
        <v>27</v>
      </c>
    </row>
    <row r="75" spans="1:8" x14ac:dyDescent="0.35">
      <c r="A75" t="s">
        <v>23</v>
      </c>
      <c r="B75" t="s">
        <v>7</v>
      </c>
      <c r="C75" t="s">
        <v>29</v>
      </c>
      <c r="D75" t="s">
        <v>10</v>
      </c>
      <c r="E75">
        <v>2040</v>
      </c>
      <c r="F75" t="s">
        <v>22</v>
      </c>
      <c r="G75" s="19">
        <f>G74</f>
        <v>3.7390041639635699E-3</v>
      </c>
      <c r="H75" t="s">
        <v>27</v>
      </c>
    </row>
    <row r="76" spans="1:8" x14ac:dyDescent="0.35">
      <c r="A76" t="s">
        <v>23</v>
      </c>
      <c r="B76" t="s">
        <v>7</v>
      </c>
      <c r="C76" t="s">
        <v>29</v>
      </c>
      <c r="D76" t="s">
        <v>10</v>
      </c>
      <c r="E76">
        <v>2045</v>
      </c>
      <c r="F76" t="s">
        <v>22</v>
      </c>
      <c r="G76" s="19">
        <f>G75</f>
        <v>3.7390041639635699E-3</v>
      </c>
      <c r="H76" t="s">
        <v>27</v>
      </c>
    </row>
    <row r="77" spans="1:8" x14ac:dyDescent="0.35">
      <c r="A77" t="s">
        <v>23</v>
      </c>
      <c r="B77" t="s">
        <v>7</v>
      </c>
      <c r="C77" t="s">
        <v>29</v>
      </c>
      <c r="D77" t="s">
        <v>10</v>
      </c>
      <c r="E77">
        <v>2050</v>
      </c>
      <c r="F77" t="s">
        <v>22</v>
      </c>
      <c r="G77" s="19">
        <f>G76</f>
        <v>3.7390041639635699E-3</v>
      </c>
      <c r="H77" t="s">
        <v>27</v>
      </c>
    </row>
    <row r="78" spans="1:8" x14ac:dyDescent="0.35">
      <c r="A78" t="s">
        <v>23</v>
      </c>
      <c r="B78" t="s">
        <v>7</v>
      </c>
      <c r="C78" t="s">
        <v>29</v>
      </c>
      <c r="D78" t="s">
        <v>10</v>
      </c>
      <c r="E78">
        <v>2015</v>
      </c>
      <c r="F78" t="s">
        <v>17</v>
      </c>
      <c r="G78" s="18">
        <f>'Calcs (2)'!H90</f>
        <v>1.222530013274194E-2</v>
      </c>
      <c r="H78" t="s">
        <v>27</v>
      </c>
    </row>
    <row r="79" spans="1:8" x14ac:dyDescent="0.35">
      <c r="A79" t="s">
        <v>23</v>
      </c>
      <c r="B79" t="s">
        <v>7</v>
      </c>
      <c r="C79" t="s">
        <v>29</v>
      </c>
      <c r="D79" t="s">
        <v>10</v>
      </c>
      <c r="E79">
        <v>2020</v>
      </c>
      <c r="F79" t="s">
        <v>17</v>
      </c>
      <c r="G79" s="18">
        <f>'Calcs (2)'!H91</f>
        <v>9.4051621963805107E-3</v>
      </c>
      <c r="H79" t="s">
        <v>27</v>
      </c>
    </row>
    <row r="80" spans="1:8" x14ac:dyDescent="0.35">
      <c r="A80" t="s">
        <v>23</v>
      </c>
      <c r="B80" t="s">
        <v>7</v>
      </c>
      <c r="C80" t="s">
        <v>29</v>
      </c>
      <c r="D80" t="s">
        <v>10</v>
      </c>
      <c r="E80">
        <v>2025</v>
      </c>
      <c r="F80" t="s">
        <v>17</v>
      </c>
      <c r="G80" s="18">
        <f>'Calcs (2)'!H92</f>
        <v>5.7700445716361614E-3</v>
      </c>
      <c r="H80" t="s">
        <v>27</v>
      </c>
    </row>
    <row r="81" spans="1:8" x14ac:dyDescent="0.35">
      <c r="A81" t="s">
        <v>23</v>
      </c>
      <c r="B81" t="s">
        <v>7</v>
      </c>
      <c r="C81" t="s">
        <v>29</v>
      </c>
      <c r="D81" t="s">
        <v>10</v>
      </c>
      <c r="E81">
        <v>2030</v>
      </c>
      <c r="F81" t="s">
        <v>17</v>
      </c>
      <c r="G81" s="18">
        <f>'Calcs (2)'!H93</f>
        <v>4.8070371158942327E-3</v>
      </c>
      <c r="H81" t="s">
        <v>27</v>
      </c>
    </row>
    <row r="82" spans="1:8" x14ac:dyDescent="0.35">
      <c r="A82" t="s">
        <v>23</v>
      </c>
      <c r="B82" t="s">
        <v>7</v>
      </c>
      <c r="C82" t="s">
        <v>29</v>
      </c>
      <c r="D82" t="s">
        <v>10</v>
      </c>
      <c r="E82">
        <v>2035</v>
      </c>
      <c r="F82" t="s">
        <v>17</v>
      </c>
      <c r="G82" s="18">
        <f>'Calcs (2)'!H94</f>
        <v>3.6238464133732844E-3</v>
      </c>
      <c r="H82" t="s">
        <v>27</v>
      </c>
    </row>
    <row r="83" spans="1:8" x14ac:dyDescent="0.35">
      <c r="A83" t="s">
        <v>23</v>
      </c>
      <c r="B83" t="s">
        <v>7</v>
      </c>
      <c r="C83" t="s">
        <v>29</v>
      </c>
      <c r="D83" t="s">
        <v>10</v>
      </c>
      <c r="E83">
        <v>2040</v>
      </c>
      <c r="F83" t="s">
        <v>17</v>
      </c>
      <c r="G83" s="19">
        <f>G82</f>
        <v>3.6238464133732844E-3</v>
      </c>
      <c r="H83" t="s">
        <v>27</v>
      </c>
    </row>
    <row r="84" spans="1:8" x14ac:dyDescent="0.35">
      <c r="A84" t="s">
        <v>23</v>
      </c>
      <c r="B84" t="s">
        <v>7</v>
      </c>
      <c r="C84" t="s">
        <v>29</v>
      </c>
      <c r="D84" t="s">
        <v>10</v>
      </c>
      <c r="E84">
        <v>2045</v>
      </c>
      <c r="F84" t="s">
        <v>17</v>
      </c>
      <c r="G84" s="19">
        <f>G83</f>
        <v>3.6238464133732844E-3</v>
      </c>
      <c r="H84" t="s">
        <v>27</v>
      </c>
    </row>
    <row r="85" spans="1:8" x14ac:dyDescent="0.35">
      <c r="A85" t="s">
        <v>23</v>
      </c>
      <c r="B85" t="s">
        <v>7</v>
      </c>
      <c r="C85" t="s">
        <v>29</v>
      </c>
      <c r="D85" t="s">
        <v>10</v>
      </c>
      <c r="E85">
        <v>2050</v>
      </c>
      <c r="F85" t="s">
        <v>17</v>
      </c>
      <c r="G85" s="19">
        <f>G84</f>
        <v>3.6238464133732844E-3</v>
      </c>
      <c r="H85" t="s">
        <v>27</v>
      </c>
    </row>
    <row r="86" spans="1:8" x14ac:dyDescent="0.35">
      <c r="A86" t="s">
        <v>23</v>
      </c>
      <c r="B86" t="s">
        <v>7</v>
      </c>
      <c r="C86" t="s">
        <v>29</v>
      </c>
      <c r="D86" t="s">
        <v>10</v>
      </c>
      <c r="E86">
        <v>2015</v>
      </c>
      <c r="F86" t="s">
        <v>21</v>
      </c>
      <c r="G86" s="18">
        <f>'Calcs (2)'!H100</f>
        <v>1.8196297645206198E-2</v>
      </c>
      <c r="H86" t="s">
        <v>27</v>
      </c>
    </row>
    <row r="87" spans="1:8" x14ac:dyDescent="0.35">
      <c r="A87" t="s">
        <v>23</v>
      </c>
      <c r="B87" t="s">
        <v>7</v>
      </c>
      <c r="C87" t="s">
        <v>29</v>
      </c>
      <c r="D87" t="s">
        <v>10</v>
      </c>
      <c r="E87">
        <v>2020</v>
      </c>
      <c r="F87" t="s">
        <v>21</v>
      </c>
      <c r="G87" s="18">
        <f>'Calcs (2)'!H101</f>
        <v>1.3827664518154887E-2</v>
      </c>
      <c r="H87" t="s">
        <v>27</v>
      </c>
    </row>
    <row r="88" spans="1:8" x14ac:dyDescent="0.35">
      <c r="A88" t="s">
        <v>23</v>
      </c>
      <c r="B88" t="s">
        <v>7</v>
      </c>
      <c r="C88" t="s">
        <v>29</v>
      </c>
      <c r="D88" t="s">
        <v>10</v>
      </c>
      <c r="E88">
        <v>2025</v>
      </c>
      <c r="F88" t="s">
        <v>21</v>
      </c>
      <c r="G88" s="18">
        <f>'Calcs (2)'!H102</f>
        <v>8.2239691467738841E-3</v>
      </c>
      <c r="H88" t="s">
        <v>27</v>
      </c>
    </row>
    <row r="89" spans="1:8" x14ac:dyDescent="0.35">
      <c r="A89" t="s">
        <v>23</v>
      </c>
      <c r="B89" t="s">
        <v>7</v>
      </c>
      <c r="C89" t="s">
        <v>29</v>
      </c>
      <c r="D89" t="s">
        <v>10</v>
      </c>
      <c r="E89">
        <v>2030</v>
      </c>
      <c r="F89" t="s">
        <v>21</v>
      </c>
      <c r="G89" s="18">
        <f>'Calcs (2)'!H103</f>
        <v>6.9646918109466504E-3</v>
      </c>
      <c r="H89" t="s">
        <v>27</v>
      </c>
    </row>
    <row r="90" spans="1:8" x14ac:dyDescent="0.35">
      <c r="A90" t="s">
        <v>23</v>
      </c>
      <c r="B90" t="s">
        <v>7</v>
      </c>
      <c r="C90" t="s">
        <v>29</v>
      </c>
      <c r="D90" t="s">
        <v>10</v>
      </c>
      <c r="E90">
        <v>2035</v>
      </c>
      <c r="F90" t="s">
        <v>21</v>
      </c>
      <c r="G90" s="18">
        <f>'Calcs (2)'!H104</f>
        <v>5.3387634684160896E-3</v>
      </c>
      <c r="H90" t="s">
        <v>27</v>
      </c>
    </row>
    <row r="91" spans="1:8" x14ac:dyDescent="0.35">
      <c r="A91" t="s">
        <v>23</v>
      </c>
      <c r="B91" t="s">
        <v>7</v>
      </c>
      <c r="C91" t="s">
        <v>29</v>
      </c>
      <c r="D91" t="s">
        <v>10</v>
      </c>
      <c r="E91">
        <v>2040</v>
      </c>
      <c r="F91" t="s">
        <v>21</v>
      </c>
      <c r="G91" s="19">
        <f>G90</f>
        <v>5.3387634684160896E-3</v>
      </c>
      <c r="H91" t="s">
        <v>27</v>
      </c>
    </row>
    <row r="92" spans="1:8" x14ac:dyDescent="0.35">
      <c r="A92" t="s">
        <v>23</v>
      </c>
      <c r="B92" t="s">
        <v>7</v>
      </c>
      <c r="C92" t="s">
        <v>29</v>
      </c>
      <c r="D92" t="s">
        <v>10</v>
      </c>
      <c r="E92">
        <v>2045</v>
      </c>
      <c r="F92" t="s">
        <v>21</v>
      </c>
      <c r="G92" s="19">
        <f>G91</f>
        <v>5.3387634684160896E-3</v>
      </c>
      <c r="H92" t="s">
        <v>27</v>
      </c>
    </row>
    <row r="93" spans="1:8" x14ac:dyDescent="0.35">
      <c r="A93" t="s">
        <v>23</v>
      </c>
      <c r="B93" t="s">
        <v>7</v>
      </c>
      <c r="C93" t="s">
        <v>29</v>
      </c>
      <c r="D93" t="s">
        <v>10</v>
      </c>
      <c r="E93">
        <v>2050</v>
      </c>
      <c r="F93" t="s">
        <v>21</v>
      </c>
      <c r="G93" s="19">
        <f>G92</f>
        <v>5.3387634684160896E-3</v>
      </c>
      <c r="H93" t="s">
        <v>27</v>
      </c>
    </row>
    <row r="94" spans="1:8" x14ac:dyDescent="0.35">
      <c r="A94" t="s">
        <v>23</v>
      </c>
      <c r="B94" t="s">
        <v>7</v>
      </c>
      <c r="C94" t="s">
        <v>29</v>
      </c>
      <c r="D94" t="s">
        <v>10</v>
      </c>
      <c r="E94">
        <v>2015</v>
      </c>
      <c r="F94" t="s">
        <v>30</v>
      </c>
      <c r="G94" s="18">
        <f>'Calcs (2)'!H105</f>
        <v>6.435302385409411E-2</v>
      </c>
      <c r="H94" t="s">
        <v>27</v>
      </c>
    </row>
    <row r="95" spans="1:8" x14ac:dyDescent="0.35">
      <c r="A95" t="s">
        <v>23</v>
      </c>
      <c r="B95" t="s">
        <v>7</v>
      </c>
      <c r="C95" t="s">
        <v>29</v>
      </c>
      <c r="D95" t="s">
        <v>10</v>
      </c>
      <c r="E95">
        <v>2020</v>
      </c>
      <c r="F95" t="s">
        <v>30</v>
      </c>
      <c r="G95" s="18">
        <f>'Calcs (2)'!H106</f>
        <v>6.0740933128669614E-2</v>
      </c>
      <c r="H95" t="s">
        <v>27</v>
      </c>
    </row>
    <row r="96" spans="1:8" x14ac:dyDescent="0.35">
      <c r="A96" t="s">
        <v>23</v>
      </c>
      <c r="B96" t="s">
        <v>7</v>
      </c>
      <c r="C96" t="s">
        <v>29</v>
      </c>
      <c r="D96" t="s">
        <v>10</v>
      </c>
      <c r="E96">
        <v>2025</v>
      </c>
      <c r="F96" t="s">
        <v>30</v>
      </c>
      <c r="G96" s="18">
        <f>'Calcs (2)'!H107</f>
        <v>5.4285500257797291E-2</v>
      </c>
      <c r="H96" t="s">
        <v>27</v>
      </c>
    </row>
    <row r="97" spans="1:8" x14ac:dyDescent="0.35">
      <c r="A97" t="s">
        <v>23</v>
      </c>
      <c r="B97" t="s">
        <v>7</v>
      </c>
      <c r="C97" t="s">
        <v>29</v>
      </c>
      <c r="D97" t="s">
        <v>10</v>
      </c>
      <c r="E97">
        <v>2030</v>
      </c>
      <c r="F97" t="s">
        <v>30</v>
      </c>
      <c r="G97" s="18">
        <f>'Calcs (2)'!H108</f>
        <v>4.8100222986232725E-2</v>
      </c>
      <c r="H97" t="s">
        <v>27</v>
      </c>
    </row>
    <row r="98" spans="1:8" x14ac:dyDescent="0.35">
      <c r="A98" t="s">
        <v>23</v>
      </c>
      <c r="B98" t="s">
        <v>7</v>
      </c>
      <c r="C98" t="s">
        <v>29</v>
      </c>
      <c r="D98" t="s">
        <v>10</v>
      </c>
      <c r="E98">
        <v>2035</v>
      </c>
      <c r="F98" t="s">
        <v>30</v>
      </c>
      <c r="G98" s="18">
        <f>'Calcs (2)'!H109</f>
        <v>4.3230350561276942E-2</v>
      </c>
      <c r="H98" t="s">
        <v>27</v>
      </c>
    </row>
    <row r="99" spans="1:8" x14ac:dyDescent="0.35">
      <c r="A99" t="s">
        <v>23</v>
      </c>
      <c r="B99" t="s">
        <v>7</v>
      </c>
      <c r="C99" t="s">
        <v>29</v>
      </c>
      <c r="D99" t="s">
        <v>10</v>
      </c>
      <c r="E99">
        <v>2040</v>
      </c>
      <c r="F99" t="s">
        <v>30</v>
      </c>
      <c r="G99" s="19">
        <f>G98</f>
        <v>4.3230350561276942E-2</v>
      </c>
      <c r="H99" t="s">
        <v>27</v>
      </c>
    </row>
    <row r="100" spans="1:8" x14ac:dyDescent="0.35">
      <c r="A100" t="s">
        <v>23</v>
      </c>
      <c r="B100" t="s">
        <v>7</v>
      </c>
      <c r="C100" t="s">
        <v>29</v>
      </c>
      <c r="D100" t="s">
        <v>10</v>
      </c>
      <c r="E100">
        <v>2045</v>
      </c>
      <c r="F100" t="s">
        <v>30</v>
      </c>
      <c r="G100" s="19">
        <f>G99</f>
        <v>4.3230350561276942E-2</v>
      </c>
      <c r="H100" t="s">
        <v>27</v>
      </c>
    </row>
    <row r="101" spans="1:8" x14ac:dyDescent="0.35">
      <c r="A101" t="s">
        <v>23</v>
      </c>
      <c r="B101" t="s">
        <v>7</v>
      </c>
      <c r="C101" t="s">
        <v>29</v>
      </c>
      <c r="D101" t="s">
        <v>10</v>
      </c>
      <c r="E101">
        <v>2050</v>
      </c>
      <c r="F101" t="s">
        <v>30</v>
      </c>
      <c r="G101" s="19">
        <f>G100</f>
        <v>4.3230350561276942E-2</v>
      </c>
      <c r="H101" t="s">
        <v>27</v>
      </c>
    </row>
    <row r="102" spans="1:8" x14ac:dyDescent="0.35">
      <c r="A102" t="s">
        <v>23</v>
      </c>
      <c r="B102" t="s">
        <v>62</v>
      </c>
      <c r="C102" t="s">
        <v>31</v>
      </c>
      <c r="D102" t="s">
        <v>8</v>
      </c>
      <c r="E102">
        <v>2015</v>
      </c>
      <c r="F102" t="s">
        <v>9</v>
      </c>
      <c r="G102" s="18">
        <f>'Calcs (2)'!I80</f>
        <v>7.5717893794510063E-2</v>
      </c>
      <c r="H102" t="s">
        <v>27</v>
      </c>
    </row>
    <row r="103" spans="1:8" x14ac:dyDescent="0.35">
      <c r="A103" t="s">
        <v>23</v>
      </c>
      <c r="B103" t="s">
        <v>62</v>
      </c>
      <c r="C103" t="s">
        <v>31</v>
      </c>
      <c r="D103" t="s">
        <v>8</v>
      </c>
      <c r="E103">
        <v>2020</v>
      </c>
      <c r="F103" t="s">
        <v>9</v>
      </c>
      <c r="G103" s="18">
        <f>'Calcs (2)'!I81</f>
        <v>7.27635131584458E-2</v>
      </c>
      <c r="H103" t="s">
        <v>27</v>
      </c>
    </row>
    <row r="104" spans="1:8" x14ac:dyDescent="0.35">
      <c r="A104" t="s">
        <v>23</v>
      </c>
      <c r="B104" t="s">
        <v>62</v>
      </c>
      <c r="C104" t="s">
        <v>31</v>
      </c>
      <c r="D104" t="s">
        <v>8</v>
      </c>
      <c r="E104">
        <v>2025</v>
      </c>
      <c r="F104" t="s">
        <v>9</v>
      </c>
      <c r="G104" s="18">
        <f>'Calcs (2)'!I82</f>
        <v>6.7432430856194867E-2</v>
      </c>
      <c r="H104" t="s">
        <v>27</v>
      </c>
    </row>
    <row r="105" spans="1:8" x14ac:dyDescent="0.35">
      <c r="A105" t="s">
        <v>23</v>
      </c>
      <c r="B105" t="s">
        <v>62</v>
      </c>
      <c r="C105" t="s">
        <v>31</v>
      </c>
      <c r="D105" t="s">
        <v>8</v>
      </c>
      <c r="E105">
        <v>2030</v>
      </c>
      <c r="F105" t="s">
        <v>9</v>
      </c>
      <c r="G105" s="18">
        <f>'Calcs (2)'!I83</f>
        <v>6.3452951505629684E-2</v>
      </c>
      <c r="H105" t="s">
        <v>27</v>
      </c>
    </row>
    <row r="106" spans="1:8" x14ac:dyDescent="0.35">
      <c r="A106" t="s">
        <v>23</v>
      </c>
      <c r="B106" t="s">
        <v>62</v>
      </c>
      <c r="C106" t="s">
        <v>31</v>
      </c>
      <c r="D106" t="s">
        <v>8</v>
      </c>
      <c r="E106">
        <v>2035</v>
      </c>
      <c r="F106" t="s">
        <v>9</v>
      </c>
      <c r="G106" s="18">
        <f>'Calcs (2)'!I84</f>
        <v>5.9004157689025581E-2</v>
      </c>
      <c r="H106" t="s">
        <v>27</v>
      </c>
    </row>
    <row r="107" spans="1:8" x14ac:dyDescent="0.35">
      <c r="A107" t="s">
        <v>23</v>
      </c>
      <c r="B107" t="s">
        <v>62</v>
      </c>
      <c r="C107" t="s">
        <v>31</v>
      </c>
      <c r="D107" t="s">
        <v>8</v>
      </c>
      <c r="E107">
        <v>2040</v>
      </c>
      <c r="F107" t="s">
        <v>9</v>
      </c>
      <c r="G107" s="19">
        <f>G106</f>
        <v>5.9004157689025581E-2</v>
      </c>
      <c r="H107" t="s">
        <v>27</v>
      </c>
    </row>
    <row r="108" spans="1:8" x14ac:dyDescent="0.35">
      <c r="A108" t="s">
        <v>23</v>
      </c>
      <c r="B108" t="s">
        <v>62</v>
      </c>
      <c r="C108" t="s">
        <v>31</v>
      </c>
      <c r="D108" t="s">
        <v>8</v>
      </c>
      <c r="E108">
        <v>2045</v>
      </c>
      <c r="F108" t="s">
        <v>9</v>
      </c>
      <c r="G108" s="19">
        <f>G107</f>
        <v>5.9004157689025581E-2</v>
      </c>
      <c r="H108" t="s">
        <v>27</v>
      </c>
    </row>
    <row r="109" spans="1:8" x14ac:dyDescent="0.35">
      <c r="A109" t="s">
        <v>23</v>
      </c>
      <c r="B109" t="s">
        <v>62</v>
      </c>
      <c r="C109" t="s">
        <v>31</v>
      </c>
      <c r="D109" t="s">
        <v>8</v>
      </c>
      <c r="E109">
        <v>2050</v>
      </c>
      <c r="F109" t="s">
        <v>9</v>
      </c>
      <c r="G109" s="19">
        <f>G108</f>
        <v>5.9004157689025581E-2</v>
      </c>
      <c r="H109" t="s">
        <v>27</v>
      </c>
    </row>
    <row r="110" spans="1:8" x14ac:dyDescent="0.35">
      <c r="A110" t="s">
        <v>23</v>
      </c>
      <c r="B110" t="s">
        <v>62</v>
      </c>
      <c r="C110" t="s">
        <v>31</v>
      </c>
      <c r="D110" t="s">
        <v>8</v>
      </c>
      <c r="E110">
        <v>2015</v>
      </c>
      <c r="F110" t="s">
        <v>77</v>
      </c>
      <c r="G110" s="18">
        <f>'Calcs (2)'!I85</f>
        <v>3.2094439637084604E-3</v>
      </c>
      <c r="H110" t="s">
        <v>27</v>
      </c>
    </row>
    <row r="111" spans="1:8" x14ac:dyDescent="0.35">
      <c r="A111" t="s">
        <v>23</v>
      </c>
      <c r="B111" t="s">
        <v>62</v>
      </c>
      <c r="C111" t="s">
        <v>31</v>
      </c>
      <c r="D111" t="s">
        <v>8</v>
      </c>
      <c r="E111">
        <v>2020</v>
      </c>
      <c r="F111" t="s">
        <v>77</v>
      </c>
      <c r="G111" s="18">
        <f>'Calcs (2)'!I86</f>
        <v>3.6646488434030093E-3</v>
      </c>
      <c r="H111" t="s">
        <v>27</v>
      </c>
    </row>
    <row r="112" spans="1:8" x14ac:dyDescent="0.35">
      <c r="A112" t="s">
        <v>23</v>
      </c>
      <c r="B112" t="s">
        <v>62</v>
      </c>
      <c r="C112" t="s">
        <v>31</v>
      </c>
      <c r="D112" t="s">
        <v>8</v>
      </c>
      <c r="E112">
        <v>2025</v>
      </c>
      <c r="F112" t="s">
        <v>77</v>
      </c>
      <c r="G112" s="18">
        <f>'Calcs (2)'!I87</f>
        <v>4.1758254484981581E-3</v>
      </c>
      <c r="H112" t="s">
        <v>27</v>
      </c>
    </row>
    <row r="113" spans="1:8" x14ac:dyDescent="0.35">
      <c r="A113" t="s">
        <v>23</v>
      </c>
      <c r="B113" t="s">
        <v>62</v>
      </c>
      <c r="C113" t="s">
        <v>31</v>
      </c>
      <c r="D113" t="s">
        <v>8</v>
      </c>
      <c r="E113">
        <v>2030</v>
      </c>
      <c r="F113" t="s">
        <v>77</v>
      </c>
      <c r="G113" s="18">
        <f>'Calcs (2)'!I88</f>
        <v>4.0888869697785699E-3</v>
      </c>
      <c r="H113" t="s">
        <v>27</v>
      </c>
    </row>
    <row r="114" spans="1:8" x14ac:dyDescent="0.35">
      <c r="A114" t="s">
        <v>23</v>
      </c>
      <c r="B114" t="s">
        <v>62</v>
      </c>
      <c r="C114" t="s">
        <v>31</v>
      </c>
      <c r="D114" t="s">
        <v>8</v>
      </c>
      <c r="E114">
        <v>2035</v>
      </c>
      <c r="F114" t="s">
        <v>77</v>
      </c>
      <c r="G114" s="18">
        <f>'Calcs (2)'!I89</f>
        <v>4.1143028092918508E-3</v>
      </c>
      <c r="H114" t="s">
        <v>27</v>
      </c>
    </row>
    <row r="115" spans="1:8" x14ac:dyDescent="0.35">
      <c r="A115" t="s">
        <v>23</v>
      </c>
      <c r="B115" t="s">
        <v>62</v>
      </c>
      <c r="C115" t="s">
        <v>31</v>
      </c>
      <c r="D115" t="s">
        <v>8</v>
      </c>
      <c r="E115">
        <v>2040</v>
      </c>
      <c r="F115" t="s">
        <v>77</v>
      </c>
      <c r="G115" s="19">
        <f>G114</f>
        <v>4.1143028092918508E-3</v>
      </c>
      <c r="H115" t="s">
        <v>27</v>
      </c>
    </row>
    <row r="116" spans="1:8" x14ac:dyDescent="0.35">
      <c r="A116" t="s">
        <v>23</v>
      </c>
      <c r="B116" t="s">
        <v>62</v>
      </c>
      <c r="C116" t="s">
        <v>31</v>
      </c>
      <c r="D116" t="s">
        <v>8</v>
      </c>
      <c r="E116">
        <v>2045</v>
      </c>
      <c r="F116" t="s">
        <v>77</v>
      </c>
      <c r="G116" s="19">
        <f>G115</f>
        <v>4.1143028092918508E-3</v>
      </c>
      <c r="H116" t="s">
        <v>27</v>
      </c>
    </row>
    <row r="117" spans="1:8" x14ac:dyDescent="0.35">
      <c r="A117" t="s">
        <v>23</v>
      </c>
      <c r="B117" t="s">
        <v>62</v>
      </c>
      <c r="C117" t="s">
        <v>31</v>
      </c>
      <c r="D117" t="s">
        <v>8</v>
      </c>
      <c r="E117">
        <v>2050</v>
      </c>
      <c r="F117" t="s">
        <v>77</v>
      </c>
      <c r="G117" s="19">
        <f>G116</f>
        <v>4.1143028092918508E-3</v>
      </c>
      <c r="H117" t="s">
        <v>27</v>
      </c>
    </row>
    <row r="118" spans="1:8" x14ac:dyDescent="0.35">
      <c r="A118" t="s">
        <v>23</v>
      </c>
      <c r="B118" t="s">
        <v>62</v>
      </c>
      <c r="C118" t="s">
        <v>31</v>
      </c>
      <c r="D118" t="s">
        <v>8</v>
      </c>
      <c r="E118">
        <v>2015</v>
      </c>
      <c r="F118" t="s">
        <v>22</v>
      </c>
      <c r="G118" s="18">
        <f>'Calcs (2)'!I95</f>
        <v>1.4728602161901356E-3</v>
      </c>
      <c r="H118" t="s">
        <v>27</v>
      </c>
    </row>
    <row r="119" spans="1:8" x14ac:dyDescent="0.35">
      <c r="A119" t="s">
        <v>23</v>
      </c>
      <c r="B119" t="s">
        <v>62</v>
      </c>
      <c r="C119" t="s">
        <v>31</v>
      </c>
      <c r="D119" t="s">
        <v>8</v>
      </c>
      <c r="E119">
        <v>2020</v>
      </c>
      <c r="F119" t="s">
        <v>22</v>
      </c>
      <c r="G119" s="18">
        <f>'Calcs (2)'!I96</f>
        <v>1.6855953965283965E-3</v>
      </c>
      <c r="H119" t="s">
        <v>27</v>
      </c>
    </row>
    <row r="120" spans="1:8" x14ac:dyDescent="0.35">
      <c r="A120" t="s">
        <v>23</v>
      </c>
      <c r="B120" t="s">
        <v>62</v>
      </c>
      <c r="C120" t="s">
        <v>31</v>
      </c>
      <c r="D120" t="s">
        <v>8</v>
      </c>
      <c r="E120">
        <v>2025</v>
      </c>
      <c r="F120" t="s">
        <v>22</v>
      </c>
      <c r="G120" s="18">
        <f>'Calcs (2)'!I97</f>
        <v>1.9250522568448952E-3</v>
      </c>
      <c r="H120" t="s">
        <v>27</v>
      </c>
    </row>
    <row r="121" spans="1:8" x14ac:dyDescent="0.35">
      <c r="A121" t="s">
        <v>23</v>
      </c>
      <c r="B121" t="s">
        <v>62</v>
      </c>
      <c r="C121" t="s">
        <v>31</v>
      </c>
      <c r="D121" t="s">
        <v>8</v>
      </c>
      <c r="E121">
        <v>2030</v>
      </c>
      <c r="F121" t="s">
        <v>22</v>
      </c>
      <c r="G121" s="18">
        <f>'Calcs (2)'!I98</f>
        <v>1.889071862898173E-3</v>
      </c>
      <c r="H121" t="s">
        <v>27</v>
      </c>
    </row>
    <row r="122" spans="1:8" x14ac:dyDescent="0.35">
      <c r="A122" t="s">
        <v>23</v>
      </c>
      <c r="B122" t="s">
        <v>62</v>
      </c>
      <c r="C122" t="s">
        <v>31</v>
      </c>
      <c r="D122" t="s">
        <v>8</v>
      </c>
      <c r="E122">
        <v>2035</v>
      </c>
      <c r="F122" t="s">
        <v>22</v>
      </c>
      <c r="G122" s="18">
        <f>'Calcs (2)'!I99</f>
        <v>1.9058724759977985E-3</v>
      </c>
      <c r="H122" t="s">
        <v>27</v>
      </c>
    </row>
    <row r="123" spans="1:8" x14ac:dyDescent="0.35">
      <c r="A123" t="s">
        <v>23</v>
      </c>
      <c r="B123" t="s">
        <v>62</v>
      </c>
      <c r="C123" t="s">
        <v>31</v>
      </c>
      <c r="D123" t="s">
        <v>8</v>
      </c>
      <c r="E123">
        <v>2040</v>
      </c>
      <c r="F123" t="s">
        <v>22</v>
      </c>
      <c r="G123" s="19">
        <f>G122</f>
        <v>1.9058724759977985E-3</v>
      </c>
      <c r="H123" t="s">
        <v>27</v>
      </c>
    </row>
    <row r="124" spans="1:8" x14ac:dyDescent="0.35">
      <c r="A124" t="s">
        <v>23</v>
      </c>
      <c r="B124" t="s">
        <v>62</v>
      </c>
      <c r="C124" t="s">
        <v>31</v>
      </c>
      <c r="D124" t="s">
        <v>8</v>
      </c>
      <c r="E124">
        <v>2045</v>
      </c>
      <c r="F124" t="s">
        <v>22</v>
      </c>
      <c r="G124" s="19">
        <f>G123</f>
        <v>1.9058724759977985E-3</v>
      </c>
      <c r="H124" t="s">
        <v>27</v>
      </c>
    </row>
    <row r="125" spans="1:8" x14ac:dyDescent="0.35">
      <c r="A125" t="s">
        <v>23</v>
      </c>
      <c r="B125" t="s">
        <v>62</v>
      </c>
      <c r="C125" t="s">
        <v>31</v>
      </c>
      <c r="D125" t="s">
        <v>8</v>
      </c>
      <c r="E125">
        <v>2050</v>
      </c>
      <c r="F125" t="s">
        <v>22</v>
      </c>
      <c r="G125" s="19">
        <f>G124</f>
        <v>1.9058724759977985E-3</v>
      </c>
      <c r="H125" t="s">
        <v>27</v>
      </c>
    </row>
    <row r="126" spans="1:8" x14ac:dyDescent="0.35">
      <c r="A126" t="s">
        <v>23</v>
      </c>
      <c r="B126" t="s">
        <v>62</v>
      </c>
      <c r="C126" t="s">
        <v>31</v>
      </c>
      <c r="D126" t="s">
        <v>8</v>
      </c>
      <c r="E126">
        <v>2015</v>
      </c>
      <c r="F126" t="s">
        <v>17</v>
      </c>
      <c r="G126" s="18">
        <f>'Calcs (2)'!I90</f>
        <v>1.3550310374885043E-3</v>
      </c>
      <c r="H126" t="s">
        <v>27</v>
      </c>
    </row>
    <row r="127" spans="1:8" x14ac:dyDescent="0.35">
      <c r="A127" t="s">
        <v>23</v>
      </c>
      <c r="B127" t="s">
        <v>62</v>
      </c>
      <c r="C127" t="s">
        <v>31</v>
      </c>
      <c r="D127" t="s">
        <v>8</v>
      </c>
      <c r="E127">
        <v>2020</v>
      </c>
      <c r="F127" t="s">
        <v>17</v>
      </c>
      <c r="G127" s="18">
        <f>'Calcs (2)'!I91</f>
        <v>1.5507473446417907E-3</v>
      </c>
      <c r="H127" t="s">
        <v>27</v>
      </c>
    </row>
    <row r="128" spans="1:8" x14ac:dyDescent="0.35">
      <c r="A128" t="s">
        <v>23</v>
      </c>
      <c r="B128" t="s">
        <v>62</v>
      </c>
      <c r="C128" t="s">
        <v>31</v>
      </c>
      <c r="D128" t="s">
        <v>8</v>
      </c>
      <c r="E128">
        <v>2025</v>
      </c>
      <c r="F128" t="s">
        <v>17</v>
      </c>
      <c r="G128" s="18">
        <f>'Calcs (2)'!I92</f>
        <v>1.7710475890476722E-3</v>
      </c>
      <c r="H128" t="s">
        <v>27</v>
      </c>
    </row>
    <row r="129" spans="1:8" x14ac:dyDescent="0.35">
      <c r="A129" t="s">
        <v>23</v>
      </c>
      <c r="B129" t="s">
        <v>62</v>
      </c>
      <c r="C129" t="s">
        <v>31</v>
      </c>
      <c r="D129" t="s">
        <v>8</v>
      </c>
      <c r="E129">
        <v>2030</v>
      </c>
      <c r="F129" t="s">
        <v>17</v>
      </c>
      <c r="G129" s="18">
        <f>'Calcs (2)'!I93</f>
        <v>1.7379456389041527E-3</v>
      </c>
      <c r="H129" t="s">
        <v>27</v>
      </c>
    </row>
    <row r="130" spans="1:8" x14ac:dyDescent="0.35">
      <c r="A130" t="s">
        <v>23</v>
      </c>
      <c r="B130" t="s">
        <v>62</v>
      </c>
      <c r="C130" t="s">
        <v>31</v>
      </c>
      <c r="D130" t="s">
        <v>8</v>
      </c>
      <c r="E130">
        <v>2035</v>
      </c>
      <c r="F130" t="s">
        <v>17</v>
      </c>
      <c r="G130" s="18">
        <f>'Calcs (2)'!I94</f>
        <v>1.7534022012471813E-3</v>
      </c>
      <c r="H130" t="s">
        <v>27</v>
      </c>
    </row>
    <row r="131" spans="1:8" x14ac:dyDescent="0.35">
      <c r="A131" t="s">
        <v>23</v>
      </c>
      <c r="B131" t="s">
        <v>62</v>
      </c>
      <c r="C131" t="s">
        <v>31</v>
      </c>
      <c r="D131" t="s">
        <v>8</v>
      </c>
      <c r="E131">
        <v>2040</v>
      </c>
      <c r="F131" t="s">
        <v>17</v>
      </c>
      <c r="G131" s="19">
        <f>G130</f>
        <v>1.7534022012471813E-3</v>
      </c>
      <c r="H131" t="s">
        <v>27</v>
      </c>
    </row>
    <row r="132" spans="1:8" x14ac:dyDescent="0.35">
      <c r="A132" t="s">
        <v>23</v>
      </c>
      <c r="B132" t="s">
        <v>62</v>
      </c>
      <c r="C132" t="s">
        <v>31</v>
      </c>
      <c r="D132" t="s">
        <v>8</v>
      </c>
      <c r="E132">
        <v>2045</v>
      </c>
      <c r="F132" t="s">
        <v>17</v>
      </c>
      <c r="G132" s="19">
        <f>G131</f>
        <v>1.7534022012471813E-3</v>
      </c>
      <c r="H132" t="s">
        <v>27</v>
      </c>
    </row>
    <row r="133" spans="1:8" x14ac:dyDescent="0.35">
      <c r="A133" t="s">
        <v>23</v>
      </c>
      <c r="B133" t="s">
        <v>62</v>
      </c>
      <c r="C133" t="s">
        <v>31</v>
      </c>
      <c r="D133" t="s">
        <v>8</v>
      </c>
      <c r="E133">
        <v>2050</v>
      </c>
      <c r="F133" t="s">
        <v>17</v>
      </c>
      <c r="G133" s="19">
        <f>G132</f>
        <v>1.7534022012471813E-3</v>
      </c>
      <c r="H133" t="s">
        <v>27</v>
      </c>
    </row>
    <row r="134" spans="1:8" x14ac:dyDescent="0.35">
      <c r="A134" t="s">
        <v>23</v>
      </c>
      <c r="B134" t="s">
        <v>62</v>
      </c>
      <c r="C134" t="s">
        <v>31</v>
      </c>
      <c r="D134" t="s">
        <v>8</v>
      </c>
      <c r="E134">
        <v>2015</v>
      </c>
      <c r="F134" t="s">
        <v>21</v>
      </c>
      <c r="G134" s="18">
        <f>'Calcs (2)'!I100</f>
        <v>5.535347895740215E-3</v>
      </c>
      <c r="H134" t="s">
        <v>27</v>
      </c>
    </row>
    <row r="135" spans="1:8" x14ac:dyDescent="0.35">
      <c r="A135" t="s">
        <v>23</v>
      </c>
      <c r="B135" t="s">
        <v>62</v>
      </c>
      <c r="C135" t="s">
        <v>31</v>
      </c>
      <c r="D135" t="s">
        <v>8</v>
      </c>
      <c r="E135">
        <v>2020</v>
      </c>
      <c r="F135" t="s">
        <v>21</v>
      </c>
      <c r="G135" s="18">
        <f>'Calcs (2)'!I101</f>
        <v>6.3666449123189568E-3</v>
      </c>
      <c r="H135" t="s">
        <v>27</v>
      </c>
    </row>
    <row r="136" spans="1:8" x14ac:dyDescent="0.35">
      <c r="A136" t="s">
        <v>23</v>
      </c>
      <c r="B136" t="s">
        <v>62</v>
      </c>
      <c r="C136" t="s">
        <v>31</v>
      </c>
      <c r="D136" t="s">
        <v>8</v>
      </c>
      <c r="E136">
        <v>2025</v>
      </c>
      <c r="F136" t="s">
        <v>21</v>
      </c>
      <c r="G136" s="18">
        <f>'Calcs (2)'!I102</f>
        <v>7.306951028971837E-3</v>
      </c>
      <c r="H136" t="s">
        <v>27</v>
      </c>
    </row>
    <row r="137" spans="1:8" x14ac:dyDescent="0.35">
      <c r="A137" t="s">
        <v>23</v>
      </c>
      <c r="B137" t="s">
        <v>62</v>
      </c>
      <c r="C137" t="s">
        <v>31</v>
      </c>
      <c r="D137" t="s">
        <v>8</v>
      </c>
      <c r="E137">
        <v>2030</v>
      </c>
      <c r="F137" t="s">
        <v>21</v>
      </c>
      <c r="G137" s="18">
        <f>'Calcs (2)'!I103</f>
        <v>7.1888110221275236E-3</v>
      </c>
      <c r="H137" t="s">
        <v>27</v>
      </c>
    </row>
    <row r="138" spans="1:8" x14ac:dyDescent="0.35">
      <c r="A138" t="s">
        <v>23</v>
      </c>
      <c r="B138" t="s">
        <v>62</v>
      </c>
      <c r="C138" t="s">
        <v>31</v>
      </c>
      <c r="D138" t="s">
        <v>8</v>
      </c>
      <c r="E138">
        <v>2035</v>
      </c>
      <c r="F138" t="s">
        <v>21</v>
      </c>
      <c r="G138" s="18">
        <f>'Calcs (2)'!I104</f>
        <v>7.2775694747443387E-3</v>
      </c>
      <c r="H138" t="s">
        <v>27</v>
      </c>
    </row>
    <row r="139" spans="1:8" x14ac:dyDescent="0.35">
      <c r="A139" t="s">
        <v>23</v>
      </c>
      <c r="B139" t="s">
        <v>62</v>
      </c>
      <c r="C139" t="s">
        <v>31</v>
      </c>
      <c r="D139" t="s">
        <v>8</v>
      </c>
      <c r="E139">
        <v>2040</v>
      </c>
      <c r="F139" t="s">
        <v>21</v>
      </c>
      <c r="G139" s="19">
        <f>G138</f>
        <v>7.2775694747443387E-3</v>
      </c>
      <c r="H139" t="s">
        <v>27</v>
      </c>
    </row>
    <row r="140" spans="1:8" x14ac:dyDescent="0.35">
      <c r="A140" t="s">
        <v>23</v>
      </c>
      <c r="B140" t="s">
        <v>62</v>
      </c>
      <c r="C140" t="s">
        <v>31</v>
      </c>
      <c r="D140" t="s">
        <v>8</v>
      </c>
      <c r="E140">
        <v>2045</v>
      </c>
      <c r="F140" t="s">
        <v>21</v>
      </c>
      <c r="G140" s="19">
        <f>G139</f>
        <v>7.2775694747443387E-3</v>
      </c>
      <c r="H140" t="s">
        <v>27</v>
      </c>
    </row>
    <row r="141" spans="1:8" x14ac:dyDescent="0.35">
      <c r="A141" t="s">
        <v>23</v>
      </c>
      <c r="B141" t="s">
        <v>62</v>
      </c>
      <c r="C141" t="s">
        <v>31</v>
      </c>
      <c r="D141" t="s">
        <v>8</v>
      </c>
      <c r="E141">
        <v>2050</v>
      </c>
      <c r="F141" t="s">
        <v>21</v>
      </c>
      <c r="G141" s="19">
        <f>G140</f>
        <v>7.2775694747443387E-3</v>
      </c>
      <c r="H141" t="s">
        <v>27</v>
      </c>
    </row>
    <row r="142" spans="1:8" x14ac:dyDescent="0.35">
      <c r="A142" t="s">
        <v>23</v>
      </c>
      <c r="B142" t="s">
        <v>62</v>
      </c>
      <c r="C142" t="s">
        <v>31</v>
      </c>
      <c r="D142" t="s">
        <v>8</v>
      </c>
      <c r="E142">
        <v>2015</v>
      </c>
      <c r="F142" t="s">
        <v>30</v>
      </c>
      <c r="G142" s="18">
        <f>'Calcs (2)'!I105</f>
        <v>9.1184800228639278E-3</v>
      </c>
      <c r="H142" t="s">
        <v>27</v>
      </c>
    </row>
    <row r="143" spans="1:8" x14ac:dyDescent="0.35">
      <c r="A143" t="s">
        <v>23</v>
      </c>
      <c r="B143" t="s">
        <v>62</v>
      </c>
      <c r="C143" t="s">
        <v>31</v>
      </c>
      <c r="D143" t="s">
        <v>8</v>
      </c>
      <c r="E143">
        <v>2020</v>
      </c>
      <c r="F143" t="s">
        <v>30</v>
      </c>
      <c r="G143" s="18">
        <f>'Calcs (2)'!I106</f>
        <v>1.0420886198513904E-2</v>
      </c>
      <c r="H143" t="s">
        <v>27</v>
      </c>
    </row>
    <row r="144" spans="1:8" x14ac:dyDescent="0.35">
      <c r="A144" t="s">
        <v>23</v>
      </c>
      <c r="B144" t="s">
        <v>62</v>
      </c>
      <c r="C144" t="s">
        <v>31</v>
      </c>
      <c r="D144" t="s">
        <v>8</v>
      </c>
      <c r="E144">
        <v>2025</v>
      </c>
      <c r="F144" t="s">
        <v>30</v>
      </c>
      <c r="G144" s="18">
        <f>'Calcs (2)'!I107</f>
        <v>1.188477426561307E-2</v>
      </c>
      <c r="H144" t="s">
        <v>27</v>
      </c>
    </row>
    <row r="145" spans="1:8" x14ac:dyDescent="0.35">
      <c r="A145" t="s">
        <v>23</v>
      </c>
      <c r="B145" t="s">
        <v>62</v>
      </c>
      <c r="C145" t="s">
        <v>31</v>
      </c>
      <c r="D145" t="s">
        <v>8</v>
      </c>
      <c r="E145">
        <v>2030</v>
      </c>
      <c r="F145" t="s">
        <v>30</v>
      </c>
      <c r="G145" s="18">
        <f>'Calcs (2)'!I108</f>
        <v>1.166922844224216E-2</v>
      </c>
      <c r="H145" t="s">
        <v>27</v>
      </c>
    </row>
    <row r="146" spans="1:8" x14ac:dyDescent="0.35">
      <c r="A146" t="s">
        <v>23</v>
      </c>
      <c r="B146" t="s">
        <v>62</v>
      </c>
      <c r="C146" t="s">
        <v>31</v>
      </c>
      <c r="D146" t="s">
        <v>8</v>
      </c>
      <c r="E146">
        <v>2035</v>
      </c>
      <c r="F146" t="s">
        <v>30</v>
      </c>
      <c r="G146" s="18">
        <f>'Calcs (2)'!I109</f>
        <v>1.1778065205313552E-2</v>
      </c>
      <c r="H146" t="s">
        <v>27</v>
      </c>
    </row>
    <row r="147" spans="1:8" x14ac:dyDescent="0.35">
      <c r="A147" t="s">
        <v>23</v>
      </c>
      <c r="B147" t="s">
        <v>62</v>
      </c>
      <c r="C147" t="s">
        <v>31</v>
      </c>
      <c r="D147" t="s">
        <v>8</v>
      </c>
      <c r="E147">
        <v>2040</v>
      </c>
      <c r="F147" t="s">
        <v>30</v>
      </c>
      <c r="G147" s="19">
        <f>G146</f>
        <v>1.1778065205313552E-2</v>
      </c>
      <c r="H147" t="s">
        <v>27</v>
      </c>
    </row>
    <row r="148" spans="1:8" x14ac:dyDescent="0.35">
      <c r="A148" t="s">
        <v>23</v>
      </c>
      <c r="B148" t="s">
        <v>62</v>
      </c>
      <c r="C148" t="s">
        <v>31</v>
      </c>
      <c r="D148" t="s">
        <v>8</v>
      </c>
      <c r="E148">
        <v>2045</v>
      </c>
      <c r="F148" t="s">
        <v>30</v>
      </c>
      <c r="G148" s="19">
        <f>G147</f>
        <v>1.1778065205313552E-2</v>
      </c>
      <c r="H148" t="s">
        <v>27</v>
      </c>
    </row>
    <row r="149" spans="1:8" x14ac:dyDescent="0.35">
      <c r="A149" t="s">
        <v>23</v>
      </c>
      <c r="B149" t="s">
        <v>62</v>
      </c>
      <c r="C149" t="s">
        <v>31</v>
      </c>
      <c r="D149" t="s">
        <v>8</v>
      </c>
      <c r="E149">
        <v>2050</v>
      </c>
      <c r="F149" t="s">
        <v>30</v>
      </c>
      <c r="G149" s="19">
        <f>G148</f>
        <v>1.1778065205313552E-2</v>
      </c>
      <c r="H149" t="s">
        <v>27</v>
      </c>
    </row>
    <row r="150" spans="1:8" x14ac:dyDescent="0.35">
      <c r="A150" t="s">
        <v>23</v>
      </c>
      <c r="B150" t="s">
        <v>62</v>
      </c>
      <c r="C150" t="s">
        <v>31</v>
      </c>
      <c r="D150" t="s">
        <v>10</v>
      </c>
      <c r="E150">
        <v>2015</v>
      </c>
      <c r="F150" t="s">
        <v>9</v>
      </c>
      <c r="G150" s="18">
        <f>'Calcs (2)'!I80</f>
        <v>7.5717893794510063E-2</v>
      </c>
      <c r="H150" t="s">
        <v>27</v>
      </c>
    </row>
    <row r="151" spans="1:8" x14ac:dyDescent="0.35">
      <c r="A151" t="s">
        <v>23</v>
      </c>
      <c r="B151" t="s">
        <v>62</v>
      </c>
      <c r="C151" t="s">
        <v>31</v>
      </c>
      <c r="D151" t="s">
        <v>10</v>
      </c>
      <c r="E151">
        <v>2020</v>
      </c>
      <c r="F151" t="s">
        <v>9</v>
      </c>
      <c r="G151" s="18">
        <f>'Calcs (2)'!I81</f>
        <v>7.27635131584458E-2</v>
      </c>
      <c r="H151" t="s">
        <v>27</v>
      </c>
    </row>
    <row r="152" spans="1:8" x14ac:dyDescent="0.35">
      <c r="A152" t="s">
        <v>23</v>
      </c>
      <c r="B152" t="s">
        <v>62</v>
      </c>
      <c r="C152" t="s">
        <v>31</v>
      </c>
      <c r="D152" t="s">
        <v>10</v>
      </c>
      <c r="E152">
        <v>2025</v>
      </c>
      <c r="F152" t="s">
        <v>9</v>
      </c>
      <c r="G152" s="18">
        <f>'Calcs (2)'!I82</f>
        <v>6.7432430856194867E-2</v>
      </c>
      <c r="H152" t="s">
        <v>27</v>
      </c>
    </row>
    <row r="153" spans="1:8" x14ac:dyDescent="0.35">
      <c r="A153" t="s">
        <v>23</v>
      </c>
      <c r="B153" t="s">
        <v>62</v>
      </c>
      <c r="C153" t="s">
        <v>31</v>
      </c>
      <c r="D153" t="s">
        <v>10</v>
      </c>
      <c r="E153">
        <v>2030</v>
      </c>
      <c r="F153" t="s">
        <v>9</v>
      </c>
      <c r="G153" s="18">
        <f>'Calcs (2)'!I83</f>
        <v>6.3452951505629684E-2</v>
      </c>
      <c r="H153" t="s">
        <v>27</v>
      </c>
    </row>
    <row r="154" spans="1:8" x14ac:dyDescent="0.35">
      <c r="A154" t="s">
        <v>23</v>
      </c>
      <c r="B154" t="s">
        <v>62</v>
      </c>
      <c r="C154" t="s">
        <v>31</v>
      </c>
      <c r="D154" t="s">
        <v>10</v>
      </c>
      <c r="E154">
        <v>2035</v>
      </c>
      <c r="F154" t="s">
        <v>9</v>
      </c>
      <c r="G154" s="18">
        <f>'Calcs (2)'!I84</f>
        <v>5.9004157689025581E-2</v>
      </c>
      <c r="H154" t="s">
        <v>27</v>
      </c>
    </row>
    <row r="155" spans="1:8" x14ac:dyDescent="0.35">
      <c r="A155" t="s">
        <v>23</v>
      </c>
      <c r="B155" t="s">
        <v>62</v>
      </c>
      <c r="C155" t="s">
        <v>31</v>
      </c>
      <c r="D155" t="s">
        <v>10</v>
      </c>
      <c r="E155">
        <v>2040</v>
      </c>
      <c r="F155" t="s">
        <v>9</v>
      </c>
      <c r="G155" s="19">
        <f>G154</f>
        <v>5.9004157689025581E-2</v>
      </c>
      <c r="H155" t="s">
        <v>27</v>
      </c>
    </row>
    <row r="156" spans="1:8" x14ac:dyDescent="0.35">
      <c r="A156" t="s">
        <v>23</v>
      </c>
      <c r="B156" t="s">
        <v>62</v>
      </c>
      <c r="C156" t="s">
        <v>31</v>
      </c>
      <c r="D156" t="s">
        <v>10</v>
      </c>
      <c r="E156">
        <v>2045</v>
      </c>
      <c r="F156" t="s">
        <v>9</v>
      </c>
      <c r="G156" s="19">
        <f>G155</f>
        <v>5.9004157689025581E-2</v>
      </c>
      <c r="H156" t="s">
        <v>27</v>
      </c>
    </row>
    <row r="157" spans="1:8" x14ac:dyDescent="0.35">
      <c r="A157" t="s">
        <v>23</v>
      </c>
      <c r="B157" t="s">
        <v>62</v>
      </c>
      <c r="C157" t="s">
        <v>31</v>
      </c>
      <c r="D157" t="s">
        <v>10</v>
      </c>
      <c r="E157">
        <v>2050</v>
      </c>
      <c r="F157" t="s">
        <v>9</v>
      </c>
      <c r="G157" s="19">
        <f>G156</f>
        <v>5.9004157689025581E-2</v>
      </c>
      <c r="H157" t="s">
        <v>27</v>
      </c>
    </row>
    <row r="158" spans="1:8" x14ac:dyDescent="0.35">
      <c r="A158" t="s">
        <v>23</v>
      </c>
      <c r="B158" t="s">
        <v>62</v>
      </c>
      <c r="C158" t="s">
        <v>31</v>
      </c>
      <c r="D158" t="s">
        <v>10</v>
      </c>
      <c r="E158">
        <v>2015</v>
      </c>
      <c r="F158" t="s">
        <v>77</v>
      </c>
      <c r="G158" s="18">
        <f>'Calcs (2)'!I85</f>
        <v>3.2094439637084604E-3</v>
      </c>
      <c r="H158" t="s">
        <v>27</v>
      </c>
    </row>
    <row r="159" spans="1:8" x14ac:dyDescent="0.35">
      <c r="A159" t="s">
        <v>23</v>
      </c>
      <c r="B159" t="s">
        <v>62</v>
      </c>
      <c r="C159" t="s">
        <v>31</v>
      </c>
      <c r="D159" t="s">
        <v>10</v>
      </c>
      <c r="E159">
        <v>2020</v>
      </c>
      <c r="F159" t="s">
        <v>77</v>
      </c>
      <c r="G159" s="18">
        <f>'Calcs (2)'!I86</f>
        <v>3.6646488434030093E-3</v>
      </c>
      <c r="H159" t="s">
        <v>27</v>
      </c>
    </row>
    <row r="160" spans="1:8" x14ac:dyDescent="0.35">
      <c r="A160" t="s">
        <v>23</v>
      </c>
      <c r="B160" t="s">
        <v>62</v>
      </c>
      <c r="C160" t="s">
        <v>31</v>
      </c>
      <c r="D160" t="s">
        <v>10</v>
      </c>
      <c r="E160">
        <v>2025</v>
      </c>
      <c r="F160" t="s">
        <v>77</v>
      </c>
      <c r="G160" s="18">
        <f>'Calcs (2)'!I87</f>
        <v>4.1758254484981581E-3</v>
      </c>
      <c r="H160" t="s">
        <v>27</v>
      </c>
    </row>
    <row r="161" spans="1:8" x14ac:dyDescent="0.35">
      <c r="A161" t="s">
        <v>23</v>
      </c>
      <c r="B161" t="s">
        <v>62</v>
      </c>
      <c r="C161" t="s">
        <v>31</v>
      </c>
      <c r="D161" t="s">
        <v>10</v>
      </c>
      <c r="E161">
        <v>2030</v>
      </c>
      <c r="F161" t="s">
        <v>77</v>
      </c>
      <c r="G161" s="18">
        <f>'Calcs (2)'!I88</f>
        <v>4.0888869697785699E-3</v>
      </c>
      <c r="H161" t="s">
        <v>27</v>
      </c>
    </row>
    <row r="162" spans="1:8" x14ac:dyDescent="0.35">
      <c r="A162" t="s">
        <v>23</v>
      </c>
      <c r="B162" t="s">
        <v>62</v>
      </c>
      <c r="C162" t="s">
        <v>31</v>
      </c>
      <c r="D162" t="s">
        <v>10</v>
      </c>
      <c r="E162">
        <v>2035</v>
      </c>
      <c r="F162" t="s">
        <v>77</v>
      </c>
      <c r="G162" s="18">
        <f>'Calcs (2)'!I89</f>
        <v>4.1143028092918508E-3</v>
      </c>
      <c r="H162" t="s">
        <v>27</v>
      </c>
    </row>
    <row r="163" spans="1:8" x14ac:dyDescent="0.35">
      <c r="A163" t="s">
        <v>23</v>
      </c>
      <c r="B163" t="s">
        <v>62</v>
      </c>
      <c r="C163" t="s">
        <v>31</v>
      </c>
      <c r="D163" t="s">
        <v>10</v>
      </c>
      <c r="E163">
        <v>2040</v>
      </c>
      <c r="F163" t="s">
        <v>77</v>
      </c>
      <c r="G163" s="19">
        <f>G162</f>
        <v>4.1143028092918508E-3</v>
      </c>
      <c r="H163" t="s">
        <v>27</v>
      </c>
    </row>
    <row r="164" spans="1:8" x14ac:dyDescent="0.35">
      <c r="A164" t="s">
        <v>23</v>
      </c>
      <c r="B164" t="s">
        <v>62</v>
      </c>
      <c r="C164" t="s">
        <v>31</v>
      </c>
      <c r="D164" t="s">
        <v>10</v>
      </c>
      <c r="E164">
        <v>2045</v>
      </c>
      <c r="F164" t="s">
        <v>77</v>
      </c>
      <c r="G164" s="19">
        <f>G163</f>
        <v>4.1143028092918508E-3</v>
      </c>
      <c r="H164" t="s">
        <v>27</v>
      </c>
    </row>
    <row r="165" spans="1:8" x14ac:dyDescent="0.35">
      <c r="A165" t="s">
        <v>23</v>
      </c>
      <c r="B165" t="s">
        <v>62</v>
      </c>
      <c r="C165" t="s">
        <v>31</v>
      </c>
      <c r="D165" t="s">
        <v>10</v>
      </c>
      <c r="E165">
        <v>2050</v>
      </c>
      <c r="F165" t="s">
        <v>77</v>
      </c>
      <c r="G165" s="19">
        <f>G164</f>
        <v>4.1143028092918508E-3</v>
      </c>
      <c r="H165" t="s">
        <v>27</v>
      </c>
    </row>
    <row r="166" spans="1:8" x14ac:dyDescent="0.35">
      <c r="A166" t="s">
        <v>23</v>
      </c>
      <c r="B166" t="s">
        <v>62</v>
      </c>
      <c r="C166" t="s">
        <v>31</v>
      </c>
      <c r="D166" t="s">
        <v>10</v>
      </c>
      <c r="E166">
        <v>2015</v>
      </c>
      <c r="F166" t="s">
        <v>22</v>
      </c>
      <c r="G166" s="18">
        <f>'Calcs (2)'!I95</f>
        <v>1.4728602161901356E-3</v>
      </c>
      <c r="H166" t="s">
        <v>27</v>
      </c>
    </row>
    <row r="167" spans="1:8" x14ac:dyDescent="0.35">
      <c r="A167" t="s">
        <v>23</v>
      </c>
      <c r="B167" t="s">
        <v>62</v>
      </c>
      <c r="C167" t="s">
        <v>31</v>
      </c>
      <c r="D167" t="s">
        <v>10</v>
      </c>
      <c r="E167">
        <v>2020</v>
      </c>
      <c r="F167" t="s">
        <v>22</v>
      </c>
      <c r="G167" s="18">
        <f>'Calcs (2)'!I96</f>
        <v>1.6855953965283965E-3</v>
      </c>
      <c r="H167" t="s">
        <v>27</v>
      </c>
    </row>
    <row r="168" spans="1:8" x14ac:dyDescent="0.35">
      <c r="A168" t="s">
        <v>23</v>
      </c>
      <c r="B168" t="s">
        <v>62</v>
      </c>
      <c r="C168" t="s">
        <v>31</v>
      </c>
      <c r="D168" t="s">
        <v>10</v>
      </c>
      <c r="E168">
        <v>2025</v>
      </c>
      <c r="F168" t="s">
        <v>22</v>
      </c>
      <c r="G168" s="18">
        <f>'Calcs (2)'!I97</f>
        <v>1.9250522568448952E-3</v>
      </c>
      <c r="H168" t="s">
        <v>27</v>
      </c>
    </row>
    <row r="169" spans="1:8" x14ac:dyDescent="0.35">
      <c r="A169" t="s">
        <v>23</v>
      </c>
      <c r="B169" t="s">
        <v>62</v>
      </c>
      <c r="C169" t="s">
        <v>31</v>
      </c>
      <c r="D169" t="s">
        <v>10</v>
      </c>
      <c r="E169">
        <v>2030</v>
      </c>
      <c r="F169" t="s">
        <v>22</v>
      </c>
      <c r="G169" s="18">
        <f>'Calcs (2)'!I98</f>
        <v>1.889071862898173E-3</v>
      </c>
      <c r="H169" t="s">
        <v>27</v>
      </c>
    </row>
    <row r="170" spans="1:8" x14ac:dyDescent="0.35">
      <c r="A170" t="s">
        <v>23</v>
      </c>
      <c r="B170" t="s">
        <v>62</v>
      </c>
      <c r="C170" t="s">
        <v>31</v>
      </c>
      <c r="D170" t="s">
        <v>10</v>
      </c>
      <c r="E170">
        <v>2035</v>
      </c>
      <c r="F170" t="s">
        <v>22</v>
      </c>
      <c r="G170" s="18">
        <f>'Calcs (2)'!I99</f>
        <v>1.9058724759977985E-3</v>
      </c>
      <c r="H170" t="s">
        <v>27</v>
      </c>
    </row>
    <row r="171" spans="1:8" x14ac:dyDescent="0.35">
      <c r="A171" t="s">
        <v>23</v>
      </c>
      <c r="B171" t="s">
        <v>62</v>
      </c>
      <c r="C171" t="s">
        <v>31</v>
      </c>
      <c r="D171" t="s">
        <v>10</v>
      </c>
      <c r="E171">
        <v>2040</v>
      </c>
      <c r="F171" t="s">
        <v>22</v>
      </c>
      <c r="G171" s="19">
        <f>G170</f>
        <v>1.9058724759977985E-3</v>
      </c>
      <c r="H171" t="s">
        <v>27</v>
      </c>
    </row>
    <row r="172" spans="1:8" x14ac:dyDescent="0.35">
      <c r="A172" t="s">
        <v>23</v>
      </c>
      <c r="B172" t="s">
        <v>62</v>
      </c>
      <c r="C172" t="s">
        <v>31</v>
      </c>
      <c r="D172" t="s">
        <v>10</v>
      </c>
      <c r="E172">
        <v>2045</v>
      </c>
      <c r="F172" t="s">
        <v>22</v>
      </c>
      <c r="G172" s="19">
        <f>G171</f>
        <v>1.9058724759977985E-3</v>
      </c>
      <c r="H172" t="s">
        <v>27</v>
      </c>
    </row>
    <row r="173" spans="1:8" x14ac:dyDescent="0.35">
      <c r="A173" t="s">
        <v>23</v>
      </c>
      <c r="B173" t="s">
        <v>62</v>
      </c>
      <c r="C173" t="s">
        <v>31</v>
      </c>
      <c r="D173" t="s">
        <v>10</v>
      </c>
      <c r="E173">
        <v>2050</v>
      </c>
      <c r="F173" t="s">
        <v>22</v>
      </c>
      <c r="G173" s="19">
        <f>G172</f>
        <v>1.9058724759977985E-3</v>
      </c>
      <c r="H173" t="s">
        <v>27</v>
      </c>
    </row>
    <row r="174" spans="1:8" x14ac:dyDescent="0.35">
      <c r="A174" t="s">
        <v>23</v>
      </c>
      <c r="B174" t="s">
        <v>62</v>
      </c>
      <c r="C174" t="s">
        <v>31</v>
      </c>
      <c r="D174" t="s">
        <v>10</v>
      </c>
      <c r="E174">
        <v>2015</v>
      </c>
      <c r="F174" t="s">
        <v>17</v>
      </c>
      <c r="G174" s="18">
        <f>'Calcs (2)'!I90</f>
        <v>1.3550310374885043E-3</v>
      </c>
      <c r="H174" t="s">
        <v>27</v>
      </c>
    </row>
    <row r="175" spans="1:8" x14ac:dyDescent="0.35">
      <c r="A175" t="s">
        <v>23</v>
      </c>
      <c r="B175" t="s">
        <v>62</v>
      </c>
      <c r="C175" t="s">
        <v>31</v>
      </c>
      <c r="D175" t="s">
        <v>10</v>
      </c>
      <c r="E175">
        <v>2020</v>
      </c>
      <c r="F175" t="s">
        <v>17</v>
      </c>
      <c r="G175" s="18">
        <f>'Calcs (2)'!I91</f>
        <v>1.5507473446417907E-3</v>
      </c>
      <c r="H175" t="s">
        <v>27</v>
      </c>
    </row>
    <row r="176" spans="1:8" x14ac:dyDescent="0.35">
      <c r="A176" t="s">
        <v>23</v>
      </c>
      <c r="B176" t="s">
        <v>62</v>
      </c>
      <c r="C176" t="s">
        <v>31</v>
      </c>
      <c r="D176" t="s">
        <v>10</v>
      </c>
      <c r="E176">
        <v>2025</v>
      </c>
      <c r="F176" t="s">
        <v>17</v>
      </c>
      <c r="G176" s="18">
        <f>'Calcs (2)'!I92</f>
        <v>1.7710475890476722E-3</v>
      </c>
      <c r="H176" t="s">
        <v>27</v>
      </c>
    </row>
    <row r="177" spans="1:8" x14ac:dyDescent="0.35">
      <c r="A177" t="s">
        <v>23</v>
      </c>
      <c r="B177" t="s">
        <v>62</v>
      </c>
      <c r="C177" t="s">
        <v>31</v>
      </c>
      <c r="D177" t="s">
        <v>10</v>
      </c>
      <c r="E177">
        <v>2030</v>
      </c>
      <c r="F177" t="s">
        <v>17</v>
      </c>
      <c r="G177" s="18">
        <f>'Calcs (2)'!I93</f>
        <v>1.7379456389041527E-3</v>
      </c>
      <c r="H177" t="s">
        <v>27</v>
      </c>
    </row>
    <row r="178" spans="1:8" x14ac:dyDescent="0.35">
      <c r="A178" t="s">
        <v>23</v>
      </c>
      <c r="B178" t="s">
        <v>62</v>
      </c>
      <c r="C178" t="s">
        <v>31</v>
      </c>
      <c r="D178" t="s">
        <v>10</v>
      </c>
      <c r="E178">
        <v>2035</v>
      </c>
      <c r="F178" t="s">
        <v>17</v>
      </c>
      <c r="G178" s="18">
        <f>'Calcs (2)'!I94</f>
        <v>1.7534022012471813E-3</v>
      </c>
      <c r="H178" t="s">
        <v>27</v>
      </c>
    </row>
    <row r="179" spans="1:8" x14ac:dyDescent="0.35">
      <c r="A179" t="s">
        <v>23</v>
      </c>
      <c r="B179" t="s">
        <v>62</v>
      </c>
      <c r="C179" t="s">
        <v>31</v>
      </c>
      <c r="D179" t="s">
        <v>10</v>
      </c>
      <c r="E179">
        <v>2040</v>
      </c>
      <c r="F179" t="s">
        <v>17</v>
      </c>
      <c r="G179" s="19">
        <f>G178</f>
        <v>1.7534022012471813E-3</v>
      </c>
      <c r="H179" t="s">
        <v>27</v>
      </c>
    </row>
    <row r="180" spans="1:8" x14ac:dyDescent="0.35">
      <c r="A180" t="s">
        <v>23</v>
      </c>
      <c r="B180" t="s">
        <v>62</v>
      </c>
      <c r="C180" t="s">
        <v>31</v>
      </c>
      <c r="D180" t="s">
        <v>10</v>
      </c>
      <c r="E180">
        <v>2045</v>
      </c>
      <c r="F180" t="s">
        <v>17</v>
      </c>
      <c r="G180" s="19">
        <f>G179</f>
        <v>1.7534022012471813E-3</v>
      </c>
      <c r="H180" t="s">
        <v>27</v>
      </c>
    </row>
    <row r="181" spans="1:8" x14ac:dyDescent="0.35">
      <c r="A181" t="s">
        <v>23</v>
      </c>
      <c r="B181" t="s">
        <v>62</v>
      </c>
      <c r="C181" t="s">
        <v>31</v>
      </c>
      <c r="D181" t="s">
        <v>10</v>
      </c>
      <c r="E181">
        <v>2050</v>
      </c>
      <c r="F181" t="s">
        <v>17</v>
      </c>
      <c r="G181" s="19">
        <f>G180</f>
        <v>1.7534022012471813E-3</v>
      </c>
      <c r="H181" t="s">
        <v>27</v>
      </c>
    </row>
    <row r="182" spans="1:8" x14ac:dyDescent="0.35">
      <c r="A182" t="s">
        <v>23</v>
      </c>
      <c r="B182" t="s">
        <v>62</v>
      </c>
      <c r="C182" t="s">
        <v>31</v>
      </c>
      <c r="D182" t="s">
        <v>10</v>
      </c>
      <c r="E182">
        <v>2015</v>
      </c>
      <c r="F182" t="s">
        <v>21</v>
      </c>
      <c r="G182" s="18">
        <f>'Calcs (2)'!I100</f>
        <v>5.535347895740215E-3</v>
      </c>
      <c r="H182" t="s">
        <v>27</v>
      </c>
    </row>
    <row r="183" spans="1:8" x14ac:dyDescent="0.35">
      <c r="A183" t="s">
        <v>23</v>
      </c>
      <c r="B183" t="s">
        <v>62</v>
      </c>
      <c r="C183" t="s">
        <v>31</v>
      </c>
      <c r="D183" t="s">
        <v>10</v>
      </c>
      <c r="E183">
        <v>2020</v>
      </c>
      <c r="F183" t="s">
        <v>21</v>
      </c>
      <c r="G183" s="18">
        <f>'Calcs (2)'!I101</f>
        <v>6.3666449123189568E-3</v>
      </c>
      <c r="H183" t="s">
        <v>27</v>
      </c>
    </row>
    <row r="184" spans="1:8" x14ac:dyDescent="0.35">
      <c r="A184" t="s">
        <v>23</v>
      </c>
      <c r="B184" t="s">
        <v>62</v>
      </c>
      <c r="C184" t="s">
        <v>31</v>
      </c>
      <c r="D184" t="s">
        <v>10</v>
      </c>
      <c r="E184">
        <v>2025</v>
      </c>
      <c r="F184" t="s">
        <v>21</v>
      </c>
      <c r="G184" s="18">
        <f>'Calcs (2)'!I102</f>
        <v>7.306951028971837E-3</v>
      </c>
      <c r="H184" t="s">
        <v>27</v>
      </c>
    </row>
    <row r="185" spans="1:8" x14ac:dyDescent="0.35">
      <c r="A185" t="s">
        <v>23</v>
      </c>
      <c r="B185" t="s">
        <v>62</v>
      </c>
      <c r="C185" t="s">
        <v>31</v>
      </c>
      <c r="D185" t="s">
        <v>10</v>
      </c>
      <c r="E185">
        <v>2030</v>
      </c>
      <c r="F185" t="s">
        <v>21</v>
      </c>
      <c r="G185" s="18">
        <f>'Calcs (2)'!I103</f>
        <v>7.1888110221275236E-3</v>
      </c>
      <c r="H185" t="s">
        <v>27</v>
      </c>
    </row>
    <row r="186" spans="1:8" x14ac:dyDescent="0.35">
      <c r="A186" t="s">
        <v>23</v>
      </c>
      <c r="B186" t="s">
        <v>62</v>
      </c>
      <c r="C186" t="s">
        <v>31</v>
      </c>
      <c r="D186" t="s">
        <v>10</v>
      </c>
      <c r="E186">
        <v>2035</v>
      </c>
      <c r="F186" t="s">
        <v>21</v>
      </c>
      <c r="G186" s="18">
        <f>'Calcs (2)'!I104</f>
        <v>7.2775694747443387E-3</v>
      </c>
      <c r="H186" t="s">
        <v>27</v>
      </c>
    </row>
    <row r="187" spans="1:8" x14ac:dyDescent="0.35">
      <c r="A187" t="s">
        <v>23</v>
      </c>
      <c r="B187" t="s">
        <v>62</v>
      </c>
      <c r="C187" t="s">
        <v>31</v>
      </c>
      <c r="D187" t="s">
        <v>10</v>
      </c>
      <c r="E187">
        <v>2040</v>
      </c>
      <c r="F187" t="s">
        <v>21</v>
      </c>
      <c r="G187" s="19">
        <f>G186</f>
        <v>7.2775694747443387E-3</v>
      </c>
      <c r="H187" t="s">
        <v>27</v>
      </c>
    </row>
    <row r="188" spans="1:8" x14ac:dyDescent="0.35">
      <c r="A188" t="s">
        <v>23</v>
      </c>
      <c r="B188" t="s">
        <v>62</v>
      </c>
      <c r="C188" t="s">
        <v>31</v>
      </c>
      <c r="D188" t="s">
        <v>10</v>
      </c>
      <c r="E188">
        <v>2045</v>
      </c>
      <c r="F188" t="s">
        <v>21</v>
      </c>
      <c r="G188" s="19">
        <f>G187</f>
        <v>7.2775694747443387E-3</v>
      </c>
      <c r="H188" t="s">
        <v>27</v>
      </c>
    </row>
    <row r="189" spans="1:8" x14ac:dyDescent="0.35">
      <c r="A189" t="s">
        <v>23</v>
      </c>
      <c r="B189" t="s">
        <v>62</v>
      </c>
      <c r="C189" t="s">
        <v>31</v>
      </c>
      <c r="D189" t="s">
        <v>10</v>
      </c>
      <c r="E189">
        <v>2050</v>
      </c>
      <c r="F189" t="s">
        <v>21</v>
      </c>
      <c r="G189" s="19">
        <f>G188</f>
        <v>7.2775694747443387E-3</v>
      </c>
      <c r="H189" t="s">
        <v>27</v>
      </c>
    </row>
    <row r="190" spans="1:8" x14ac:dyDescent="0.35">
      <c r="A190" t="s">
        <v>23</v>
      </c>
      <c r="B190" t="s">
        <v>62</v>
      </c>
      <c r="C190" t="s">
        <v>31</v>
      </c>
      <c r="D190" t="s">
        <v>10</v>
      </c>
      <c r="E190">
        <v>2015</v>
      </c>
      <c r="F190" t="s">
        <v>30</v>
      </c>
      <c r="G190" s="18">
        <f>'Calcs (2)'!I105</f>
        <v>9.1184800228639278E-3</v>
      </c>
      <c r="H190" t="s">
        <v>27</v>
      </c>
    </row>
    <row r="191" spans="1:8" x14ac:dyDescent="0.35">
      <c r="A191" t="s">
        <v>23</v>
      </c>
      <c r="B191" t="s">
        <v>62</v>
      </c>
      <c r="C191" t="s">
        <v>31</v>
      </c>
      <c r="D191" t="s">
        <v>10</v>
      </c>
      <c r="E191">
        <v>2020</v>
      </c>
      <c r="F191" t="s">
        <v>30</v>
      </c>
      <c r="G191" s="18">
        <f>'Calcs (2)'!I106</f>
        <v>1.0420886198513904E-2</v>
      </c>
      <c r="H191" t="s">
        <v>27</v>
      </c>
    </row>
    <row r="192" spans="1:8" x14ac:dyDescent="0.35">
      <c r="A192" t="s">
        <v>23</v>
      </c>
      <c r="B192" t="s">
        <v>62</v>
      </c>
      <c r="C192" t="s">
        <v>31</v>
      </c>
      <c r="D192" t="s">
        <v>10</v>
      </c>
      <c r="E192">
        <v>2025</v>
      </c>
      <c r="F192" t="s">
        <v>30</v>
      </c>
      <c r="G192" s="18">
        <f>'Calcs (2)'!I107</f>
        <v>1.188477426561307E-2</v>
      </c>
      <c r="H192" t="s">
        <v>27</v>
      </c>
    </row>
    <row r="193" spans="1:8" x14ac:dyDescent="0.35">
      <c r="A193" t="s">
        <v>23</v>
      </c>
      <c r="B193" t="s">
        <v>62</v>
      </c>
      <c r="C193" t="s">
        <v>31</v>
      </c>
      <c r="D193" t="s">
        <v>10</v>
      </c>
      <c r="E193">
        <v>2030</v>
      </c>
      <c r="F193" t="s">
        <v>30</v>
      </c>
      <c r="G193" s="18">
        <f>'Calcs (2)'!I108</f>
        <v>1.166922844224216E-2</v>
      </c>
      <c r="H193" t="s">
        <v>27</v>
      </c>
    </row>
    <row r="194" spans="1:8" x14ac:dyDescent="0.35">
      <c r="A194" t="s">
        <v>23</v>
      </c>
      <c r="B194" t="s">
        <v>62</v>
      </c>
      <c r="C194" t="s">
        <v>31</v>
      </c>
      <c r="D194" t="s">
        <v>10</v>
      </c>
      <c r="E194">
        <v>2035</v>
      </c>
      <c r="F194" t="s">
        <v>30</v>
      </c>
      <c r="G194" s="18">
        <f>'Calcs (2)'!I109</f>
        <v>1.1778065205313552E-2</v>
      </c>
      <c r="H194" t="s">
        <v>27</v>
      </c>
    </row>
    <row r="195" spans="1:8" x14ac:dyDescent="0.35">
      <c r="A195" t="s">
        <v>23</v>
      </c>
      <c r="B195" t="s">
        <v>62</v>
      </c>
      <c r="C195" t="s">
        <v>31</v>
      </c>
      <c r="D195" t="s">
        <v>10</v>
      </c>
      <c r="E195">
        <v>2040</v>
      </c>
      <c r="F195" t="s">
        <v>30</v>
      </c>
      <c r="G195" s="19">
        <f>G194</f>
        <v>1.1778065205313552E-2</v>
      </c>
      <c r="H195" t="s">
        <v>27</v>
      </c>
    </row>
    <row r="196" spans="1:8" x14ac:dyDescent="0.35">
      <c r="A196" t="s">
        <v>23</v>
      </c>
      <c r="B196" t="s">
        <v>62</v>
      </c>
      <c r="C196" t="s">
        <v>31</v>
      </c>
      <c r="D196" t="s">
        <v>10</v>
      </c>
      <c r="E196">
        <v>2045</v>
      </c>
      <c r="F196" t="s">
        <v>30</v>
      </c>
      <c r="G196" s="19">
        <f>G195</f>
        <v>1.1778065205313552E-2</v>
      </c>
      <c r="H196" t="s">
        <v>27</v>
      </c>
    </row>
    <row r="197" spans="1:8" x14ac:dyDescent="0.35">
      <c r="A197" t="s">
        <v>23</v>
      </c>
      <c r="B197" t="s">
        <v>62</v>
      </c>
      <c r="C197" t="s">
        <v>31</v>
      </c>
      <c r="D197" t="s">
        <v>10</v>
      </c>
      <c r="E197">
        <v>2050</v>
      </c>
      <c r="F197" t="s">
        <v>30</v>
      </c>
      <c r="G197" s="19">
        <f>G196</f>
        <v>1.1778065205313552E-2</v>
      </c>
      <c r="H197" t="s">
        <v>27</v>
      </c>
    </row>
  </sheetData>
  <autoFilter ref="A5:K89" xr:uid="{934B06F9-3A27-42F7-94CF-D689A759EF9D}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11377-1CE8-4CC3-B960-7E984AAF496B}">
  <dimension ref="B2:B4"/>
  <sheetViews>
    <sheetView workbookViewId="0">
      <selection activeCell="B5" sqref="B5"/>
    </sheetView>
  </sheetViews>
  <sheetFormatPr defaultRowHeight="14.5" x14ac:dyDescent="0.35"/>
  <sheetData>
    <row r="2" spans="2:2" x14ac:dyDescent="0.35">
      <c r="B2" t="s">
        <v>69</v>
      </c>
    </row>
    <row r="3" spans="2:2" x14ac:dyDescent="0.35">
      <c r="B3" t="s">
        <v>70</v>
      </c>
    </row>
    <row r="4" spans="2:2" x14ac:dyDescent="0.35">
      <c r="B4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C4DF-8461-4556-B392-B820447054E3}">
  <dimension ref="A1:AE109"/>
  <sheetViews>
    <sheetView topLeftCell="A73" workbookViewId="0">
      <selection activeCell="I103" sqref="I103"/>
    </sheetView>
  </sheetViews>
  <sheetFormatPr defaultRowHeight="14.5" x14ac:dyDescent="0.35"/>
  <cols>
    <col min="2" max="3" width="12.54296875" bestFit="1" customWidth="1"/>
    <col min="4" max="4" width="16.1796875" customWidth="1"/>
    <col min="5" max="5" width="15.7265625" customWidth="1"/>
    <col min="6" max="12" width="12" customWidth="1"/>
    <col min="13" max="14" width="9.54296875" customWidth="1"/>
    <col min="15" max="15" width="10" customWidth="1"/>
    <col min="16" max="16" width="12.54296875" bestFit="1" customWidth="1"/>
    <col min="17" max="17" width="13.6328125" bestFit="1" customWidth="1"/>
    <col min="18" max="19" width="10.453125" customWidth="1"/>
    <col min="20" max="22" width="14" customWidth="1"/>
    <col min="23" max="23" width="10.453125" customWidth="1"/>
    <col min="24" max="24" width="9.54296875" customWidth="1"/>
    <col min="25" max="25" width="9.6328125" customWidth="1"/>
    <col min="26" max="35" width="7.36328125" customWidth="1"/>
  </cols>
  <sheetData>
    <row r="1" spans="1:31" s="10" customFormat="1" x14ac:dyDescent="0.35">
      <c r="A1" s="10" t="s">
        <v>45</v>
      </c>
    </row>
    <row r="3" spans="1:31" x14ac:dyDescent="0.35">
      <c r="A3" t="s">
        <v>34</v>
      </c>
      <c r="J3" s="1"/>
    </row>
    <row r="4" spans="1:31" x14ac:dyDescent="0.35">
      <c r="A4" t="s">
        <v>35</v>
      </c>
      <c r="B4" t="s">
        <v>9</v>
      </c>
      <c r="G4" t="s">
        <v>18</v>
      </c>
      <c r="L4" t="s">
        <v>19</v>
      </c>
      <c r="Q4" t="s">
        <v>22</v>
      </c>
      <c r="V4" t="s">
        <v>20</v>
      </c>
      <c r="AA4" t="s">
        <v>30</v>
      </c>
    </row>
    <row r="5" spans="1:31" x14ac:dyDescent="0.35">
      <c r="A5" t="s">
        <v>36</v>
      </c>
      <c r="B5">
        <v>2016</v>
      </c>
      <c r="C5">
        <v>2026</v>
      </c>
      <c r="D5">
        <v>2032</v>
      </c>
      <c r="G5">
        <v>2016</v>
      </c>
      <c r="H5">
        <v>2026</v>
      </c>
      <c r="I5">
        <v>2032</v>
      </c>
      <c r="L5">
        <v>2016</v>
      </c>
      <c r="M5">
        <v>2026</v>
      </c>
      <c r="N5">
        <v>2032</v>
      </c>
      <c r="Q5">
        <v>2016</v>
      </c>
      <c r="R5">
        <v>2026</v>
      </c>
      <c r="S5">
        <v>2032</v>
      </c>
      <c r="V5">
        <v>2016</v>
      </c>
      <c r="W5">
        <v>2026</v>
      </c>
      <c r="X5">
        <v>2032</v>
      </c>
      <c r="AA5">
        <v>2016</v>
      </c>
      <c r="AB5">
        <v>2026</v>
      </c>
      <c r="AC5">
        <v>2032</v>
      </c>
    </row>
    <row r="6" spans="1:31" x14ac:dyDescent="0.35">
      <c r="A6" t="s">
        <v>37</v>
      </c>
      <c r="B6">
        <v>167852.52199294002</v>
      </c>
      <c r="C6">
        <v>104694.30272861307</v>
      </c>
      <c r="D6">
        <v>88392.484849514003</v>
      </c>
      <c r="G6">
        <v>643.20469846869992</v>
      </c>
      <c r="H6">
        <v>245.98033780056002</v>
      </c>
      <c r="I6">
        <v>248.88265354731996</v>
      </c>
      <c r="L6">
        <v>4455.4393194099994</v>
      </c>
      <c r="M6">
        <v>2786.86866897458</v>
      </c>
      <c r="N6">
        <v>2342.8376946888798</v>
      </c>
      <c r="Q6">
        <v>4597.0665266499991</v>
      </c>
      <c r="R6">
        <v>2875.4502999274609</v>
      </c>
      <c r="S6">
        <v>2417.29490239301</v>
      </c>
      <c r="V6">
        <v>6617.7519113855005</v>
      </c>
      <c r="W6">
        <v>3996.4031834471998</v>
      </c>
      <c r="X6">
        <v>3415.1086402760407</v>
      </c>
      <c r="AA6">
        <v>24357.913414484003</v>
      </c>
      <c r="AB6">
        <v>24622.980616481233</v>
      </c>
      <c r="AC6">
        <v>25074.432331378164</v>
      </c>
    </row>
    <row r="7" spans="1:31" x14ac:dyDescent="0.35">
      <c r="A7" t="s">
        <v>38</v>
      </c>
      <c r="B7">
        <v>119015.11411233002</v>
      </c>
      <c r="C7">
        <v>115621.51930911701</v>
      </c>
      <c r="D7">
        <v>114946.42312871802</v>
      </c>
      <c r="G7">
        <v>5232.3874649939999</v>
      </c>
      <c r="H7">
        <v>6965.6453377265007</v>
      </c>
      <c r="I7">
        <v>7649.5924017820007</v>
      </c>
      <c r="L7">
        <v>2210.2612094750007</v>
      </c>
      <c r="M7">
        <v>2953.4550641906003</v>
      </c>
      <c r="N7">
        <v>3255.0081127143003</v>
      </c>
      <c r="Q7">
        <v>2402.4584794613002</v>
      </c>
      <c r="R7">
        <v>3210.2781252690002</v>
      </c>
      <c r="S7">
        <v>3538.0532612164993</v>
      </c>
      <c r="V7">
        <v>9039.2728093440019</v>
      </c>
      <c r="W7">
        <v>12178.0505959722</v>
      </c>
      <c r="X7">
        <v>13483.251645410799</v>
      </c>
      <c r="AA7">
        <v>14868.890613740001</v>
      </c>
      <c r="AB7">
        <v>19822.765498469205</v>
      </c>
      <c r="AC7">
        <v>21859.291161140998</v>
      </c>
    </row>
    <row r="9" spans="1:31" s="10" customFormat="1" x14ac:dyDescent="0.35">
      <c r="A9" s="10" t="s">
        <v>46</v>
      </c>
    </row>
    <row r="11" spans="1:31" x14ac:dyDescent="0.35">
      <c r="A11" t="s">
        <v>39</v>
      </c>
    </row>
    <row r="12" spans="1:31" x14ac:dyDescent="0.35">
      <c r="B12" t="s">
        <v>9</v>
      </c>
      <c r="G12" t="s">
        <v>18</v>
      </c>
      <c r="L12" t="s">
        <v>19</v>
      </c>
      <c r="Q12" t="s">
        <v>22</v>
      </c>
      <c r="V12" t="s">
        <v>20</v>
      </c>
      <c r="AA12" t="s">
        <v>30</v>
      </c>
    </row>
    <row r="13" spans="1:31" x14ac:dyDescent="0.35">
      <c r="B13">
        <v>2015</v>
      </c>
      <c r="C13">
        <v>2020</v>
      </c>
      <c r="D13">
        <v>2025</v>
      </c>
      <c r="E13">
        <v>2030</v>
      </c>
      <c r="F13">
        <v>2035</v>
      </c>
      <c r="G13">
        <v>2015</v>
      </c>
      <c r="H13">
        <v>2020</v>
      </c>
      <c r="I13">
        <v>2025</v>
      </c>
      <c r="J13">
        <v>2030</v>
      </c>
      <c r="K13">
        <v>2035</v>
      </c>
      <c r="L13">
        <v>2015</v>
      </c>
      <c r="M13">
        <v>2020</v>
      </c>
      <c r="N13">
        <v>2025</v>
      </c>
      <c r="O13">
        <v>2030</v>
      </c>
      <c r="P13">
        <v>2035</v>
      </c>
      <c r="Q13">
        <v>2015</v>
      </c>
      <c r="R13">
        <v>2020</v>
      </c>
      <c r="S13">
        <v>2025</v>
      </c>
      <c r="T13">
        <v>2030</v>
      </c>
      <c r="U13">
        <v>2035</v>
      </c>
      <c r="V13">
        <v>2015</v>
      </c>
      <c r="W13">
        <v>2020</v>
      </c>
      <c r="X13">
        <v>2025</v>
      </c>
      <c r="Y13">
        <v>2030</v>
      </c>
      <c r="Z13">
        <v>2035</v>
      </c>
      <c r="AA13">
        <v>2015</v>
      </c>
      <c r="AB13">
        <v>2020</v>
      </c>
      <c r="AC13">
        <v>2025</v>
      </c>
      <c r="AD13">
        <v>2030</v>
      </c>
      <c r="AE13">
        <v>2035</v>
      </c>
    </row>
    <row r="14" spans="1:31" x14ac:dyDescent="0.35">
      <c r="A14" t="s">
        <v>37</v>
      </c>
      <c r="B14" s="9">
        <f>(B6-C6)/10+B6</f>
        <v>174168.34391937271</v>
      </c>
      <c r="C14" s="9">
        <f>(C6-B6)/10*4+B6</f>
        <v>142589.23428720923</v>
      </c>
      <c r="D14" s="9">
        <f>(C6-B6)/10*11+B6</f>
        <v>98378.480802180376</v>
      </c>
      <c r="E14" s="9">
        <f>(D6-C6)/6*4+C6</f>
        <v>93826.424142547025</v>
      </c>
      <c r="F14" s="9">
        <f>(D6-C6)/6*9+C6</f>
        <v>80241.575909964478</v>
      </c>
      <c r="G14" s="9">
        <f>(G6-H6)/10+G6</f>
        <v>682.92713453551391</v>
      </c>
      <c r="H14" s="9">
        <f>(H6-G6)/10*4+G6</f>
        <v>484.31495420144398</v>
      </c>
      <c r="I14" s="9">
        <f>(H6-G6)/10*11+G6</f>
        <v>206.25790173374611</v>
      </c>
      <c r="J14" s="9">
        <f>(I6-H6)/6*4+H6</f>
        <v>247.91521496506664</v>
      </c>
      <c r="K14" s="9">
        <f>(I6-H6)/6*9+H6</f>
        <v>250.33381142069993</v>
      </c>
      <c r="L14" s="9">
        <f>(L6-M6)/10+L6</f>
        <v>4622.2963844535416</v>
      </c>
      <c r="M14" s="9">
        <f>(M6-L6)/10*4+L6</f>
        <v>3788.0110592358315</v>
      </c>
      <c r="N14" s="9">
        <f>(M6-L6)/10*11+L6</f>
        <v>2620.0116039310383</v>
      </c>
      <c r="O14" s="9">
        <f>(N6-M6)/6*4+M6</f>
        <v>2490.8480194507797</v>
      </c>
      <c r="P14" s="9">
        <f>(N6-M6)/6*9+M6</f>
        <v>2120.8222075460299</v>
      </c>
      <c r="Q14" s="9">
        <f>(Q6-R6)/10+Q6</f>
        <v>4769.2281493222526</v>
      </c>
      <c r="R14" s="9">
        <f>(R6-Q6)/10*4+Q6</f>
        <v>3908.420035960984</v>
      </c>
      <c r="S14" s="9">
        <f>(R6-Q6)/10*11+Q6</f>
        <v>2703.2886772552069</v>
      </c>
      <c r="T14" s="9">
        <f>(S6-R6)/6*4+R6</f>
        <v>2570.0133682378269</v>
      </c>
      <c r="U14" s="9">
        <f>(S6-R6)/6*9+R6</f>
        <v>2188.2172036257844</v>
      </c>
      <c r="V14" s="9">
        <f>(V6-W6)/10+V6</f>
        <v>6879.8867841793308</v>
      </c>
      <c r="W14" s="9">
        <f>(W6-V6)/10*4+V6</f>
        <v>5569.2124202101804</v>
      </c>
      <c r="X14" s="9">
        <f>(W6-V6)/10*11+V6</f>
        <v>3734.2683106533696</v>
      </c>
      <c r="Y14" s="9">
        <f>(X6-W6)/6*4+W6</f>
        <v>3608.8734879997605</v>
      </c>
      <c r="Z14" s="9">
        <f>(X6-W6)/6*9+W6</f>
        <v>3124.4613686904613</v>
      </c>
      <c r="AA14" s="9">
        <f>(AA6-AB6)/10+AA6</f>
        <v>24331.40669428428</v>
      </c>
      <c r="AB14" s="9">
        <f>(AB6-AA6)/10*4+AA6</f>
        <v>24463.940295282893</v>
      </c>
      <c r="AC14" s="9">
        <f>(AB6-AA6)/10*11+AA6</f>
        <v>24649.487336680955</v>
      </c>
      <c r="AD14" s="9">
        <f>(AC6-AB6)/6*4+AB6</f>
        <v>24923.94842641252</v>
      </c>
      <c r="AE14" s="9">
        <f>(AC6-AB6)/6*9+AB6</f>
        <v>25300.15818882663</v>
      </c>
    </row>
    <row r="15" spans="1:31" x14ac:dyDescent="0.35">
      <c r="A15" t="s">
        <v>38</v>
      </c>
      <c r="B15" s="9">
        <f>(B7-C7)/10+B7</f>
        <v>119354.47359265132</v>
      </c>
      <c r="C15" s="9">
        <f>(C7-B7)/10*4+B7</f>
        <v>117657.67619104481</v>
      </c>
      <c r="D15" s="9">
        <f>(C7-B7)/10*11+B7</f>
        <v>115282.1598287957</v>
      </c>
      <c r="E15" s="9">
        <f>(D7-C7)/6*4+C7</f>
        <v>115171.45518885102</v>
      </c>
      <c r="F15" s="9">
        <f>(D7-C7)/6*9+C7</f>
        <v>114608.87503851851</v>
      </c>
      <c r="G15" s="9">
        <f>(G7-H7)/10+G7</f>
        <v>5059.0616777207497</v>
      </c>
      <c r="H15" s="9">
        <f>(H7-G7)/10*4+G7</f>
        <v>5925.6906140870005</v>
      </c>
      <c r="I15" s="9">
        <f>(H7-G7)/10*11+G7</f>
        <v>7138.9711249997508</v>
      </c>
      <c r="J15" s="9">
        <f>(I7-H7)/6*4+H7</f>
        <v>7421.610047096834</v>
      </c>
      <c r="K15" s="9">
        <f>(I7-H7)/6*9+H7</f>
        <v>7991.5659338097503</v>
      </c>
      <c r="L15" s="9">
        <f>(L7-M7)/10+L7</f>
        <v>2135.9418240034406</v>
      </c>
      <c r="M15" s="9">
        <f>(M7-L7)/10*4+L7</f>
        <v>2507.5387513612404</v>
      </c>
      <c r="N15" s="9">
        <f>(M7-L7)/10*11+L7</f>
        <v>3027.7744496621604</v>
      </c>
      <c r="O15" s="9">
        <f>(N7-M7)/6*4+M7</f>
        <v>3154.4904298730671</v>
      </c>
      <c r="P15" s="9">
        <f>(N7-M7)/6*9+M7</f>
        <v>3405.7846369761501</v>
      </c>
      <c r="Q15" s="9">
        <f>(Q7-R7)/10+Q7</f>
        <v>2321.6765148805302</v>
      </c>
      <c r="R15" s="9">
        <f>(R7-Q7)/10*4+Q7</f>
        <v>2725.5863377843802</v>
      </c>
      <c r="S15" s="9">
        <f>(R7-Q7)/10*11+Q7</f>
        <v>3291.0600898497701</v>
      </c>
      <c r="T15" s="9">
        <f>(S7-R7)/6*4+R7</f>
        <v>3428.7948825673329</v>
      </c>
      <c r="U15" s="9">
        <f>(S7-R7)/6*9+R7</f>
        <v>3701.9408291902491</v>
      </c>
      <c r="V15" s="9">
        <f>(V7-W7)/10+V7</f>
        <v>8725.3950306811821</v>
      </c>
      <c r="W15" s="9">
        <f>(W7-V7)/10*4+V7</f>
        <v>10294.783923995281</v>
      </c>
      <c r="X15" s="9">
        <f>(W7-V7)/10*11+V7</f>
        <v>12491.928374635019</v>
      </c>
      <c r="Y15" s="9">
        <f>(X7-W7)/6*4+W7</f>
        <v>13048.184628931265</v>
      </c>
      <c r="Z15" s="9">
        <f>(X7-W7)/6*9+W7</f>
        <v>14135.8521701301</v>
      </c>
      <c r="AA15" s="9">
        <f>(AA7-AB7)/10+AA7</f>
        <v>14373.50312526708</v>
      </c>
      <c r="AB15" s="9">
        <f>(AB7-AA7)/10*4+AA7</f>
        <v>16850.440567631682</v>
      </c>
      <c r="AC15" s="9">
        <f>(AB7-AA7)/10*11+AA7</f>
        <v>20318.152986942125</v>
      </c>
      <c r="AD15" s="9">
        <f>(AC7-AB7)/6*4+AB7</f>
        <v>21180.449273583734</v>
      </c>
      <c r="AE15" s="9">
        <f>(AC7-AB7)/6*9+AB7</f>
        <v>22877.553992476896</v>
      </c>
    </row>
    <row r="17" spans="1:31" s="10" customFormat="1" x14ac:dyDescent="0.35">
      <c r="A17" s="10" t="s">
        <v>47</v>
      </c>
    </row>
    <row r="19" spans="1:31" x14ac:dyDescent="0.35">
      <c r="B19" t="s">
        <v>9</v>
      </c>
      <c r="G19" t="s">
        <v>18</v>
      </c>
      <c r="L19" t="s">
        <v>19</v>
      </c>
      <c r="Q19" t="s">
        <v>22</v>
      </c>
      <c r="V19" t="s">
        <v>20</v>
      </c>
      <c r="AA19" t="s">
        <v>30</v>
      </c>
    </row>
    <row r="20" spans="1:31" x14ac:dyDescent="0.35">
      <c r="B20">
        <v>2015</v>
      </c>
      <c r="C20">
        <v>2020</v>
      </c>
      <c r="D20">
        <v>2025</v>
      </c>
      <c r="E20">
        <v>2030</v>
      </c>
      <c r="F20">
        <v>2035</v>
      </c>
      <c r="G20">
        <v>2015</v>
      </c>
      <c r="H20">
        <v>2020</v>
      </c>
      <c r="I20">
        <v>2025</v>
      </c>
      <c r="J20">
        <v>2030</v>
      </c>
      <c r="K20">
        <v>2035</v>
      </c>
      <c r="L20">
        <v>2015</v>
      </c>
      <c r="M20">
        <v>2020</v>
      </c>
      <c r="N20">
        <v>2025</v>
      </c>
      <c r="O20">
        <v>2030</v>
      </c>
      <c r="P20">
        <v>2035</v>
      </c>
      <c r="Q20">
        <v>2015</v>
      </c>
      <c r="R20">
        <v>2020</v>
      </c>
      <c r="S20">
        <v>2025</v>
      </c>
      <c r="T20">
        <v>2030</v>
      </c>
      <c r="U20">
        <v>2035</v>
      </c>
      <c r="V20">
        <v>2015</v>
      </c>
      <c r="W20">
        <v>2020</v>
      </c>
      <c r="X20">
        <v>2025</v>
      </c>
      <c r="Y20">
        <v>2030</v>
      </c>
      <c r="Z20">
        <v>2035</v>
      </c>
      <c r="AA20">
        <v>2015</v>
      </c>
      <c r="AB20">
        <v>2020</v>
      </c>
      <c r="AC20">
        <v>2025</v>
      </c>
      <c r="AD20">
        <v>2030</v>
      </c>
      <c r="AE20">
        <v>2035</v>
      </c>
    </row>
    <row r="21" spans="1:31" x14ac:dyDescent="0.35">
      <c r="A21" t="s">
        <v>37</v>
      </c>
      <c r="B21" s="11">
        <f>B14*0.000000907185</f>
        <v>0.15800290907849612</v>
      </c>
      <c r="C21" s="12">
        <f t="shared" ref="C21:AE21" si="0">C14*0.000000907185</f>
        <v>0.12935481450684189</v>
      </c>
      <c r="D21" s="12">
        <f t="shared" si="0"/>
        <v>8.9247482106525999E-2</v>
      </c>
      <c r="E21" s="12">
        <f t="shared" si="0"/>
        <v>8.5117924585756524E-2</v>
      </c>
      <c r="F21" s="12">
        <f t="shared" si="0"/>
        <v>7.2793954041881118E-2</v>
      </c>
      <c r="G21" s="12">
        <f t="shared" si="0"/>
        <v>6.1954125254360022E-4</v>
      </c>
      <c r="H21" s="12">
        <f t="shared" si="0"/>
        <v>4.3936326172723696E-4</v>
      </c>
      <c r="I21" s="12">
        <f t="shared" si="0"/>
        <v>1.8711407458432846E-4</v>
      </c>
      <c r="J21" s="12">
        <f t="shared" si="0"/>
        <v>2.2490496428808398E-4</v>
      </c>
      <c r="K21" s="12">
        <f t="shared" si="0"/>
        <v>2.2709907871368767E-4</v>
      </c>
      <c r="L21" s="12">
        <f t="shared" si="0"/>
        <v>4.193277945530486E-3</v>
      </c>
      <c r="M21" s="12">
        <f t="shared" si="0"/>
        <v>3.4364268127728575E-3</v>
      </c>
      <c r="N21" s="12">
        <f t="shared" si="0"/>
        <v>2.376835226912179E-3</v>
      </c>
      <c r="O21" s="12">
        <f t="shared" si="0"/>
        <v>2.2596599605254554E-3</v>
      </c>
      <c r="P21" s="12">
        <f t="shared" si="0"/>
        <v>1.9239780943526451E-3</v>
      </c>
      <c r="Q21" s="12">
        <f t="shared" si="0"/>
        <v>4.3265722386429074E-3</v>
      </c>
      <c r="R21" s="12">
        <f t="shared" si="0"/>
        <v>3.5456600303232651E-3</v>
      </c>
      <c r="S21" s="12">
        <f t="shared" si="0"/>
        <v>2.4523829386757651E-3</v>
      </c>
      <c r="T21" s="12">
        <f t="shared" si="0"/>
        <v>2.3314775774648331E-3</v>
      </c>
      <c r="U21" s="12">
        <f t="shared" si="0"/>
        <v>1.985117823871257E-3</v>
      </c>
      <c r="V21" s="12">
        <f t="shared" si="0"/>
        <v>6.2413300923057262E-3</v>
      </c>
      <c r="W21" s="12">
        <f t="shared" si="0"/>
        <v>5.0523059694283726E-3</v>
      </c>
      <c r="X21" s="12">
        <f t="shared" si="0"/>
        <v>3.3876721974000772E-3</v>
      </c>
      <c r="Y21" s="12">
        <f t="shared" si="0"/>
        <v>3.2739158952110625E-3</v>
      </c>
      <c r="Z21" s="12">
        <f t="shared" si="0"/>
        <v>2.8344644867554559E-3</v>
      </c>
      <c r="AA21" s="12">
        <f t="shared" si="0"/>
        <v>2.2073087181954283E-2</v>
      </c>
      <c r="AB21" s="12">
        <f t="shared" si="0"/>
        <v>2.2193319676776211E-2</v>
      </c>
      <c r="AC21" s="12">
        <f t="shared" si="0"/>
        <v>2.2361645169526913E-2</v>
      </c>
      <c r="AD21" s="12">
        <f t="shared" si="0"/>
        <v>2.2610632153215043E-2</v>
      </c>
      <c r="AE21" s="12">
        <f t="shared" si="0"/>
        <v>2.2951924006530684E-2</v>
      </c>
    </row>
    <row r="22" spans="1:31" x14ac:dyDescent="0.35">
      <c r="A22" t="s">
        <v>38</v>
      </c>
      <c r="B22" s="11">
        <f>B15*0.000000907185</f>
        <v>0.10827658812614939</v>
      </c>
      <c r="C22" s="12">
        <f t="shared" ref="C22:AE22" si="1">C15*0.000000907185</f>
        <v>0.10673727897537298</v>
      </c>
      <c r="D22" s="12">
        <f t="shared" si="1"/>
        <v>0.10458224616428603</v>
      </c>
      <c r="E22" s="12">
        <f t="shared" si="1"/>
        <v>0.10448181657549781</v>
      </c>
      <c r="F22" s="12">
        <f t="shared" si="1"/>
        <v>0.10397145230181841</v>
      </c>
      <c r="G22" s="12">
        <f>G15*0.000000907185</f>
        <v>4.5895048681030984E-3</v>
      </c>
      <c r="H22" s="12">
        <f t="shared" si="1"/>
        <v>5.3756976397405154E-3</v>
      </c>
      <c r="I22" s="12">
        <f t="shared" si="1"/>
        <v>6.4763675200328989E-3</v>
      </c>
      <c r="J22" s="12">
        <f t="shared" si="1"/>
        <v>6.732773310575541E-3</v>
      </c>
      <c r="K22" s="12">
        <f t="shared" si="1"/>
        <v>7.2498287416631986E-3</v>
      </c>
      <c r="L22" s="12">
        <f t="shared" si="1"/>
        <v>1.9376943836085612E-3</v>
      </c>
      <c r="M22" s="12">
        <f t="shared" si="1"/>
        <v>2.274801542153647E-3</v>
      </c>
      <c r="N22" s="12">
        <f t="shared" si="1"/>
        <v>2.7467515641167667E-3</v>
      </c>
      <c r="O22" s="12">
        <f t="shared" si="1"/>
        <v>2.8617064006243981E-3</v>
      </c>
      <c r="P22" s="12">
        <f t="shared" si="1"/>
        <v>3.0896767358952085E-3</v>
      </c>
      <c r="Q22" s="12">
        <f t="shared" si="1"/>
        <v>2.1061901091518937E-3</v>
      </c>
      <c r="R22" s="12">
        <f t="shared" si="1"/>
        <v>2.4726110418429228E-3</v>
      </c>
      <c r="S22" s="12">
        <f t="shared" si="1"/>
        <v>2.9856003476103634E-3</v>
      </c>
      <c r="T22" s="12">
        <f t="shared" si="1"/>
        <v>3.1105512855418458E-3</v>
      </c>
      <c r="U22" s="12">
        <f t="shared" si="1"/>
        <v>3.358345191128956E-3</v>
      </c>
      <c r="V22" s="12">
        <f t="shared" si="1"/>
        <v>7.9155474909085085E-3</v>
      </c>
      <c r="W22" s="12">
        <f t="shared" si="1"/>
        <v>9.3392735540896582E-3</v>
      </c>
      <c r="X22" s="12">
        <f t="shared" si="1"/>
        <v>1.133249004254327E-2</v>
      </c>
      <c r="Y22" s="12">
        <f t="shared" si="1"/>
        <v>1.183711737259701E-2</v>
      </c>
      <c r="Z22" s="12">
        <f t="shared" si="1"/>
        <v>1.2823833050959474E-2</v>
      </c>
      <c r="AA22" s="12">
        <f t="shared" si="1"/>
        <v>1.3039426432695416E-2</v>
      </c>
      <c r="AB22" s="12">
        <f t="shared" si="1"/>
        <v>1.5286466926346947E-2</v>
      </c>
      <c r="AC22" s="12">
        <f t="shared" si="1"/>
        <v>1.8432323617459091E-2</v>
      </c>
      <c r="AD22" s="12">
        <f t="shared" si="1"/>
        <v>1.9214585874256059E-2</v>
      </c>
      <c r="AE22" s="12">
        <f t="shared" si="1"/>
        <v>2.0754173818665154E-2</v>
      </c>
    </row>
    <row r="23" spans="1:31" x14ac:dyDescent="0.35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 x14ac:dyDescent="0.35">
      <c r="A24" s="10" t="s">
        <v>48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 x14ac:dyDescent="0.35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 x14ac:dyDescent="0.35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 x14ac:dyDescent="0.35">
      <c r="A27" t="s">
        <v>11</v>
      </c>
      <c r="B27" t="s">
        <v>0</v>
      </c>
      <c r="C27" t="s">
        <v>12</v>
      </c>
      <c r="D27" t="s">
        <v>13</v>
      </c>
      <c r="E27" s="9">
        <v>2015</v>
      </c>
      <c r="F27" s="3">
        <v>2020</v>
      </c>
      <c r="G27" s="3">
        <v>2025</v>
      </c>
      <c r="H27" s="3">
        <v>2030</v>
      </c>
      <c r="I27" s="3">
        <v>2035</v>
      </c>
      <c r="J27" s="3">
        <v>2040</v>
      </c>
      <c r="K27" s="3">
        <v>2045</v>
      </c>
      <c r="L27" s="3">
        <v>2050</v>
      </c>
      <c r="M27" s="2" t="s">
        <v>14</v>
      </c>
      <c r="N27" s="2"/>
    </row>
    <row r="28" spans="1:31" x14ac:dyDescent="0.35">
      <c r="A28" t="s">
        <v>40</v>
      </c>
      <c r="B28" t="s">
        <v>15</v>
      </c>
      <c r="C28" t="s">
        <v>29</v>
      </c>
      <c r="D28" t="s">
        <v>8</v>
      </c>
      <c r="E28" s="9">
        <v>1050000</v>
      </c>
      <c r="F28" s="3">
        <v>1060000</v>
      </c>
      <c r="G28" s="3">
        <v>1060000</v>
      </c>
      <c r="H28" s="3">
        <v>911000</v>
      </c>
      <c r="I28" s="3">
        <v>720000</v>
      </c>
      <c r="J28" s="3">
        <v>641000</v>
      </c>
      <c r="K28" s="3">
        <v>632000</v>
      </c>
      <c r="L28" s="3">
        <v>626000</v>
      </c>
      <c r="M28" s="2" t="s">
        <v>41</v>
      </c>
      <c r="N28" s="2"/>
    </row>
    <row r="29" spans="1:31" x14ac:dyDescent="0.35">
      <c r="A29" t="s">
        <v>40</v>
      </c>
      <c r="B29" t="s">
        <v>15</v>
      </c>
      <c r="C29" t="s">
        <v>31</v>
      </c>
      <c r="D29" t="s">
        <v>8</v>
      </c>
      <c r="E29" s="9">
        <v>13600000</v>
      </c>
      <c r="F29" s="3">
        <v>13500000</v>
      </c>
      <c r="G29" s="3">
        <v>13100000</v>
      </c>
      <c r="H29" s="3">
        <v>10700000</v>
      </c>
      <c r="I29" s="3">
        <v>7130000</v>
      </c>
      <c r="J29" s="3">
        <v>6090000</v>
      </c>
      <c r="K29" s="3">
        <v>5890000</v>
      </c>
      <c r="L29" s="3">
        <v>5850000</v>
      </c>
      <c r="M29" s="2" t="s">
        <v>41</v>
      </c>
      <c r="N29" s="2"/>
    </row>
    <row r="30" spans="1:31" x14ac:dyDescent="0.35">
      <c r="A30" t="s">
        <v>40</v>
      </c>
      <c r="B30" t="s">
        <v>15</v>
      </c>
      <c r="C30" t="s">
        <v>29</v>
      </c>
      <c r="D30" t="s">
        <v>32</v>
      </c>
      <c r="E30" s="9">
        <v>0</v>
      </c>
      <c r="F30" s="3">
        <v>0</v>
      </c>
      <c r="G30" s="3">
        <v>0</v>
      </c>
      <c r="H30" s="3">
        <v>0</v>
      </c>
      <c r="I30" s="3">
        <v>12800</v>
      </c>
      <c r="J30" s="3">
        <v>34100</v>
      </c>
      <c r="K30" s="3">
        <v>88700</v>
      </c>
      <c r="L30" s="3">
        <v>186000</v>
      </c>
      <c r="M30" s="2" t="s">
        <v>41</v>
      </c>
      <c r="N30" s="2"/>
    </row>
    <row r="31" spans="1:31" x14ac:dyDescent="0.35">
      <c r="A31" t="s">
        <v>40</v>
      </c>
      <c r="B31" t="s">
        <v>15</v>
      </c>
      <c r="C31" t="s">
        <v>29</v>
      </c>
      <c r="D31" t="s">
        <v>33</v>
      </c>
      <c r="E31" s="9">
        <v>0</v>
      </c>
      <c r="F31" s="3">
        <v>0</v>
      </c>
      <c r="G31" s="3">
        <v>0</v>
      </c>
      <c r="H31" s="3">
        <v>0</v>
      </c>
      <c r="I31" s="3">
        <v>6470</v>
      </c>
      <c r="J31" s="3">
        <v>21400</v>
      </c>
      <c r="K31" s="3">
        <v>64600</v>
      </c>
      <c r="L31" s="3">
        <v>150000</v>
      </c>
      <c r="M31" s="2" t="s">
        <v>41</v>
      </c>
      <c r="N31" s="2"/>
      <c r="T31" s="8"/>
      <c r="U31" s="8"/>
      <c r="V31" s="8"/>
      <c r="W31" s="8"/>
      <c r="X31" s="8"/>
      <c r="Y31" s="6"/>
      <c r="Z31" s="6"/>
    </row>
    <row r="32" spans="1:31" x14ac:dyDescent="0.35">
      <c r="A32" t="s">
        <v>40</v>
      </c>
      <c r="B32" t="s">
        <v>15</v>
      </c>
      <c r="C32" t="s">
        <v>29</v>
      </c>
      <c r="D32" t="s">
        <v>10</v>
      </c>
      <c r="E32" s="9">
        <v>0</v>
      </c>
      <c r="F32" s="3">
        <v>58500</v>
      </c>
      <c r="G32" s="3">
        <v>201000</v>
      </c>
      <c r="H32" s="3">
        <v>528000</v>
      </c>
      <c r="I32" s="3">
        <v>886000</v>
      </c>
      <c r="J32" s="3">
        <v>1060000</v>
      </c>
      <c r="K32" s="3">
        <v>1130000</v>
      </c>
      <c r="L32" s="3">
        <v>1130000</v>
      </c>
      <c r="M32" s="2" t="s">
        <v>41</v>
      </c>
      <c r="N32" s="2"/>
      <c r="T32" s="8"/>
      <c r="U32" s="8"/>
      <c r="V32" s="8"/>
      <c r="W32" s="8"/>
      <c r="X32" s="8"/>
      <c r="Y32" s="5"/>
      <c r="Z32" s="5"/>
    </row>
    <row r="33" spans="1:26" x14ac:dyDescent="0.35">
      <c r="A33" t="s">
        <v>40</v>
      </c>
      <c r="B33" t="s">
        <v>15</v>
      </c>
      <c r="C33" t="s">
        <v>31</v>
      </c>
      <c r="D33" t="s">
        <v>32</v>
      </c>
      <c r="E33" s="9">
        <v>0</v>
      </c>
      <c r="F33" s="3">
        <v>0</v>
      </c>
      <c r="G33" s="3">
        <v>0</v>
      </c>
      <c r="H33" s="3">
        <v>0</v>
      </c>
      <c r="I33" s="3">
        <v>1370</v>
      </c>
      <c r="J33" s="3">
        <v>3940</v>
      </c>
      <c r="K33" s="3">
        <v>11400</v>
      </c>
      <c r="L33" s="3">
        <v>27500</v>
      </c>
      <c r="M33" s="2" t="s">
        <v>41</v>
      </c>
      <c r="N33" s="2"/>
      <c r="T33" s="8"/>
      <c r="U33" s="8"/>
      <c r="V33" s="8"/>
      <c r="W33" s="8"/>
      <c r="X33" s="8"/>
      <c r="Y33" s="5"/>
      <c r="Z33" s="5"/>
    </row>
    <row r="34" spans="1:26" x14ac:dyDescent="0.35">
      <c r="A34" t="s">
        <v>40</v>
      </c>
      <c r="B34" t="s">
        <v>15</v>
      </c>
      <c r="C34" t="s">
        <v>31</v>
      </c>
      <c r="D34" t="s">
        <v>33</v>
      </c>
      <c r="E34" s="9">
        <v>0</v>
      </c>
      <c r="F34" s="3">
        <v>0</v>
      </c>
      <c r="G34" s="3">
        <v>0</v>
      </c>
      <c r="H34" s="3">
        <v>0</v>
      </c>
      <c r="I34" s="3">
        <v>17100</v>
      </c>
      <c r="J34" s="3">
        <v>67400</v>
      </c>
      <c r="K34" s="3">
        <v>255000</v>
      </c>
      <c r="L34" s="3">
        <v>776000</v>
      </c>
      <c r="M34" s="2" t="s">
        <v>41</v>
      </c>
      <c r="N34" s="2"/>
      <c r="T34" s="8"/>
      <c r="U34" s="8"/>
      <c r="V34" s="8"/>
      <c r="W34" s="8"/>
      <c r="X34" s="8"/>
      <c r="Y34" s="5"/>
      <c r="Z34" s="5"/>
    </row>
    <row r="35" spans="1:26" x14ac:dyDescent="0.35">
      <c r="A35" t="s">
        <v>40</v>
      </c>
      <c r="B35" t="s">
        <v>15</v>
      </c>
      <c r="C35" t="s">
        <v>31</v>
      </c>
      <c r="D35" t="s">
        <v>10</v>
      </c>
      <c r="E35" s="9">
        <v>0</v>
      </c>
      <c r="F35" s="3">
        <v>451000</v>
      </c>
      <c r="G35" s="3">
        <v>1650000</v>
      </c>
      <c r="H35" s="3">
        <v>4960000</v>
      </c>
      <c r="I35" s="3">
        <v>9610000</v>
      </c>
      <c r="J35" s="3">
        <v>11400000</v>
      </c>
      <c r="K35" s="3">
        <v>12300000</v>
      </c>
      <c r="L35" s="3">
        <v>12700000</v>
      </c>
      <c r="M35" s="2" t="s">
        <v>41</v>
      </c>
      <c r="N35" s="2"/>
      <c r="T35" s="8"/>
      <c r="U35" s="8"/>
      <c r="V35" s="8"/>
      <c r="W35" s="8"/>
      <c r="X35" s="8"/>
      <c r="Y35" s="5"/>
      <c r="Z35" s="5"/>
    </row>
    <row r="36" spans="1:26" x14ac:dyDescent="0.35">
      <c r="T36" s="8"/>
      <c r="U36" s="8"/>
      <c r="V36" s="8"/>
      <c r="W36" s="8"/>
      <c r="X36" s="8"/>
      <c r="Y36" s="5"/>
      <c r="Z36" s="5"/>
    </row>
    <row r="37" spans="1:26" x14ac:dyDescent="0.35">
      <c r="D37" t="s">
        <v>42</v>
      </c>
      <c r="E37" s="9">
        <v>2015</v>
      </c>
      <c r="F37" s="3">
        <v>2020</v>
      </c>
      <c r="G37" s="3">
        <v>2025</v>
      </c>
      <c r="H37" s="3">
        <v>2030</v>
      </c>
      <c r="I37" s="3">
        <v>2035</v>
      </c>
      <c r="J37" s="3">
        <v>2040</v>
      </c>
      <c r="K37" s="3">
        <v>2045</v>
      </c>
      <c r="L37" s="3">
        <v>2050</v>
      </c>
      <c r="M37" s="2"/>
      <c r="N37" s="2"/>
      <c r="O37" s="2"/>
      <c r="Y37" s="5"/>
      <c r="Z37" s="5"/>
    </row>
    <row r="38" spans="1:26" x14ac:dyDescent="0.35">
      <c r="D38" t="s">
        <v>29</v>
      </c>
      <c r="E38" s="9">
        <f>E28+E30+E31+E32</f>
        <v>1050000</v>
      </c>
      <c r="F38" s="9">
        <f t="shared" ref="F38:L38" si="2">F28+F30+F31+F32</f>
        <v>1118500</v>
      </c>
      <c r="G38" s="9">
        <f t="shared" si="2"/>
        <v>1261000</v>
      </c>
      <c r="H38" s="9">
        <f t="shared" si="2"/>
        <v>1439000</v>
      </c>
      <c r="I38" s="9">
        <f t="shared" si="2"/>
        <v>1625270</v>
      </c>
      <c r="J38" s="9">
        <f t="shared" si="2"/>
        <v>1756500</v>
      </c>
      <c r="K38" s="9">
        <f t="shared" si="2"/>
        <v>1915300</v>
      </c>
      <c r="L38" s="9">
        <f t="shared" si="2"/>
        <v>2092000</v>
      </c>
      <c r="M38" s="2"/>
      <c r="N38" s="2"/>
      <c r="O38" s="2"/>
      <c r="T38" s="8"/>
      <c r="U38" s="8"/>
      <c r="V38" s="8"/>
      <c r="W38" s="8"/>
      <c r="X38" s="8"/>
    </row>
    <row r="39" spans="1:26" x14ac:dyDescent="0.35">
      <c r="D39" t="s">
        <v>31</v>
      </c>
      <c r="E39" s="9">
        <f>E29+E33+E34+E35</f>
        <v>13600000</v>
      </c>
      <c r="F39" s="9">
        <f t="shared" ref="F39:L39" si="3">F29+F33+F34+F35</f>
        <v>13951000</v>
      </c>
      <c r="G39" s="9">
        <f t="shared" si="3"/>
        <v>14750000</v>
      </c>
      <c r="H39" s="9">
        <f t="shared" si="3"/>
        <v>15660000</v>
      </c>
      <c r="I39" s="9">
        <f t="shared" si="3"/>
        <v>16758470</v>
      </c>
      <c r="J39" s="9">
        <f t="shared" si="3"/>
        <v>17561340</v>
      </c>
      <c r="K39" s="9">
        <f t="shared" si="3"/>
        <v>18456400</v>
      </c>
      <c r="L39" s="9">
        <f t="shared" si="3"/>
        <v>19353500</v>
      </c>
      <c r="M39" s="1"/>
      <c r="N39" s="1"/>
      <c r="O39" s="1"/>
      <c r="T39" s="8"/>
      <c r="U39" s="8"/>
      <c r="V39" s="8"/>
      <c r="W39" s="8"/>
      <c r="X39" s="8"/>
      <c r="Y39" s="6"/>
      <c r="Z39" s="6"/>
    </row>
    <row r="40" spans="1:26" x14ac:dyDescent="0.35">
      <c r="T40" s="8"/>
      <c r="U40" s="8"/>
      <c r="V40" s="8"/>
      <c r="W40" s="8"/>
      <c r="X40" s="8"/>
      <c r="Y40" s="5"/>
      <c r="Z40" s="5"/>
    </row>
    <row r="41" spans="1:26" x14ac:dyDescent="0.35">
      <c r="A41" s="10" t="s">
        <v>49</v>
      </c>
      <c r="T41" s="8"/>
      <c r="U41" s="8"/>
      <c r="V41" s="8"/>
      <c r="W41" s="8"/>
      <c r="X41" s="8"/>
      <c r="Y41" s="5"/>
      <c r="Z41" s="5"/>
    </row>
    <row r="42" spans="1:26" x14ac:dyDescent="0.35">
      <c r="I42" s="1"/>
      <c r="T42" s="8"/>
      <c r="U42" s="8"/>
      <c r="V42" s="8"/>
      <c r="W42" s="8"/>
      <c r="X42" s="8"/>
      <c r="Y42" s="5"/>
      <c r="Z42" s="5"/>
    </row>
    <row r="43" spans="1:26" x14ac:dyDescent="0.35">
      <c r="D43" t="s">
        <v>43</v>
      </c>
      <c r="I43" s="1"/>
      <c r="J43" s="1" t="s">
        <v>44</v>
      </c>
      <c r="T43" s="8"/>
      <c r="U43" s="8"/>
      <c r="V43" s="8"/>
      <c r="W43" s="8"/>
      <c r="X43" s="8"/>
      <c r="Y43" s="5"/>
      <c r="Z43" s="5"/>
    </row>
    <row r="44" spans="1:26" x14ac:dyDescent="0.35">
      <c r="E44">
        <v>2015</v>
      </c>
      <c r="F44">
        <v>2020</v>
      </c>
      <c r="G44">
        <v>2025</v>
      </c>
      <c r="H44">
        <v>2030</v>
      </c>
      <c r="I44">
        <v>2035</v>
      </c>
      <c r="J44">
        <v>2015</v>
      </c>
      <c r="K44">
        <v>2020</v>
      </c>
      <c r="L44">
        <v>2025</v>
      </c>
      <c r="M44">
        <v>2030</v>
      </c>
      <c r="N44">
        <v>2035</v>
      </c>
      <c r="Y44" s="5"/>
      <c r="Z44" s="5"/>
    </row>
    <row r="45" spans="1:26" x14ac:dyDescent="0.35">
      <c r="C45" t="s">
        <v>29</v>
      </c>
      <c r="D45" t="s">
        <v>9</v>
      </c>
      <c r="E45">
        <f>B21/E38</f>
        <v>1.5047896102713917E-7</v>
      </c>
      <c r="F45">
        <f t="shared" ref="F45:I45" si="4">C21/F38</f>
        <v>1.1565025883490558E-7</v>
      </c>
      <c r="G45">
        <f>D21/G38</f>
        <v>7.0775164239909598E-8</v>
      </c>
      <c r="H45">
        <f t="shared" si="4"/>
        <v>5.915074675869112E-8</v>
      </c>
      <c r="I45">
        <f t="shared" si="4"/>
        <v>4.4788837572760909E-8</v>
      </c>
      <c r="J45" s="2">
        <f t="shared" ref="J45:N50" si="5">E45/$E45</f>
        <v>1</v>
      </c>
      <c r="K45" s="2">
        <f t="shared" si="5"/>
        <v>0.76854769627262265</v>
      </c>
      <c r="L45" s="2">
        <f t="shared" si="5"/>
        <v>0.47033262162904726</v>
      </c>
      <c r="M45" s="2">
        <f t="shared" si="5"/>
        <v>0.39308316827109918</v>
      </c>
      <c r="N45" s="2">
        <f t="shared" si="5"/>
        <v>0.29764185815107508</v>
      </c>
      <c r="Y45" s="5"/>
      <c r="Z45" s="5"/>
    </row>
    <row r="46" spans="1:26" x14ac:dyDescent="0.35">
      <c r="C46" t="s">
        <v>29</v>
      </c>
      <c r="D46" t="s">
        <v>18</v>
      </c>
      <c r="E46">
        <f>G21/E38</f>
        <v>5.9003928813676213E-10</v>
      </c>
      <c r="F46">
        <f t="shared" ref="F46:I46" si="6">H21/F38</f>
        <v>3.9281471768192843E-10</v>
      </c>
      <c r="G46">
        <f t="shared" si="6"/>
        <v>1.4838546755299639E-10</v>
      </c>
      <c r="H46">
        <f t="shared" si="6"/>
        <v>1.5629253946357469E-10</v>
      </c>
      <c r="I46">
        <f t="shared" si="6"/>
        <v>1.3973006252111199E-10</v>
      </c>
      <c r="J46" s="2">
        <f t="shared" si="5"/>
        <v>1</v>
      </c>
      <c r="K46" s="2">
        <f t="shared" si="5"/>
        <v>0.66574332519850776</v>
      </c>
      <c r="L46" s="2">
        <f t="shared" si="5"/>
        <v>0.25148404612440467</v>
      </c>
      <c r="M46" s="2">
        <f t="shared" si="5"/>
        <v>0.26488497055360227</v>
      </c>
      <c r="N46" s="2">
        <f t="shared" si="5"/>
        <v>0.23681484492728336</v>
      </c>
    </row>
    <row r="47" spans="1:26" x14ac:dyDescent="0.35">
      <c r="C47" t="s">
        <v>29</v>
      </c>
      <c r="D47" t="s">
        <v>17</v>
      </c>
      <c r="E47">
        <f>L21/E38</f>
        <v>3.9935980433623679E-9</v>
      </c>
      <c r="F47">
        <f t="shared" ref="F47:I47" si="7">M21/F38</f>
        <v>3.0723529841509678E-9</v>
      </c>
      <c r="G47">
        <f t="shared" si="7"/>
        <v>1.8848812267344797E-9</v>
      </c>
      <c r="H47">
        <f t="shared" si="7"/>
        <v>1.5702987911921164E-9</v>
      </c>
      <c r="I47">
        <f t="shared" si="7"/>
        <v>1.1837898283686064E-9</v>
      </c>
      <c r="J47" s="2">
        <f t="shared" si="5"/>
        <v>1</v>
      </c>
      <c r="K47" s="2">
        <f t="shared" si="5"/>
        <v>0.76931953361140781</v>
      </c>
      <c r="L47" s="2">
        <f t="shared" si="5"/>
        <v>0.47197569867284983</v>
      </c>
      <c r="M47" s="2">
        <f t="shared" si="5"/>
        <v>0.39320401656397541</v>
      </c>
      <c r="N47" s="2">
        <f t="shared" si="5"/>
        <v>0.2964218770930504</v>
      </c>
    </row>
    <row r="48" spans="1:26" x14ac:dyDescent="0.35">
      <c r="C48" t="s">
        <v>29</v>
      </c>
      <c r="D48" t="s">
        <v>22</v>
      </c>
      <c r="E48">
        <f>Q21/E38</f>
        <v>4.1205449891837216E-9</v>
      </c>
      <c r="F48">
        <f t="shared" ref="F48:I48" si="8">R21/F38</f>
        <v>3.1700134379287128E-9</v>
      </c>
      <c r="G48">
        <f t="shared" si="8"/>
        <v>1.944792179758735E-9</v>
      </c>
      <c r="H48">
        <f t="shared" si="8"/>
        <v>1.6202067946246234E-9</v>
      </c>
      <c r="I48">
        <f t="shared" si="8"/>
        <v>1.2214080268947664E-9</v>
      </c>
      <c r="J48" s="2">
        <f t="shared" si="5"/>
        <v>1</v>
      </c>
      <c r="K48" s="2">
        <f t="shared" si="5"/>
        <v>0.76931897267227534</v>
      </c>
      <c r="L48" s="2">
        <f t="shared" si="5"/>
        <v>0.47197450455309736</v>
      </c>
      <c r="M48" s="2">
        <f t="shared" si="5"/>
        <v>0.39320206401764968</v>
      </c>
      <c r="N48" s="2">
        <f t="shared" si="5"/>
        <v>0.29641904896097904</v>
      </c>
    </row>
    <row r="49" spans="1:27" x14ac:dyDescent="0.35">
      <c r="C49" t="s">
        <v>29</v>
      </c>
      <c r="D49" t="s">
        <v>21</v>
      </c>
      <c r="E49">
        <f>V21/E38</f>
        <v>5.9441238974340253E-9</v>
      </c>
      <c r="F49">
        <f t="shared" ref="F49:I49" si="9">W21/F38</f>
        <v>4.5170370759305971E-9</v>
      </c>
      <c r="G49">
        <f t="shared" si="9"/>
        <v>2.6864965879461359E-9</v>
      </c>
      <c r="H49">
        <f t="shared" si="9"/>
        <v>2.2751326582425729E-9</v>
      </c>
      <c r="I49">
        <f t="shared" si="9"/>
        <v>1.7439960663492564E-9</v>
      </c>
      <c r="J49" s="2">
        <f t="shared" si="5"/>
        <v>1</v>
      </c>
      <c r="K49" s="2">
        <f t="shared" si="5"/>
        <v>0.75991637352655506</v>
      </c>
      <c r="L49" s="2">
        <f t="shared" si="5"/>
        <v>0.45195837676025724</v>
      </c>
      <c r="M49" s="2">
        <f t="shared" si="5"/>
        <v>0.38275323622118779</v>
      </c>
      <c r="N49" s="2">
        <f t="shared" si="5"/>
        <v>0.29339833698656737</v>
      </c>
    </row>
    <row r="50" spans="1:27" x14ac:dyDescent="0.35">
      <c r="C50" t="s">
        <v>29</v>
      </c>
      <c r="D50" t="s">
        <v>30</v>
      </c>
      <c r="E50">
        <f>AA21/E38</f>
        <v>2.1021987792337413E-8</v>
      </c>
      <c r="F50">
        <f t="shared" ref="F50:I50" si="10">AB21/F38</f>
        <v>1.9842038155365409E-8</v>
      </c>
      <c r="G50">
        <f t="shared" si="10"/>
        <v>1.7733263417547117E-8</v>
      </c>
      <c r="H50">
        <f t="shared" si="10"/>
        <v>1.5712739508836027E-8</v>
      </c>
      <c r="I50">
        <f t="shared" si="10"/>
        <v>1.4121914516683803E-8</v>
      </c>
      <c r="J50" s="2">
        <f t="shared" si="5"/>
        <v>1</v>
      </c>
      <c r="K50" s="2">
        <f t="shared" si="5"/>
        <v>0.94387069155267511</v>
      </c>
      <c r="L50" s="2">
        <f t="shared" si="5"/>
        <v>0.84355787819508454</v>
      </c>
      <c r="M50" s="2">
        <f t="shared" si="5"/>
        <v>0.74744308978066165</v>
      </c>
      <c r="N50" s="2">
        <f t="shared" si="5"/>
        <v>0.67176875261202884</v>
      </c>
    </row>
    <row r="51" spans="1:27" x14ac:dyDescent="0.35">
      <c r="M51" s="1"/>
      <c r="N51" s="1"/>
      <c r="O51" s="1"/>
    </row>
    <row r="52" spans="1:27" x14ac:dyDescent="0.35">
      <c r="E52">
        <v>2015</v>
      </c>
      <c r="F52">
        <v>2020</v>
      </c>
      <c r="G52">
        <v>2025</v>
      </c>
      <c r="H52">
        <v>2030</v>
      </c>
      <c r="I52">
        <v>2035</v>
      </c>
      <c r="J52">
        <v>2015</v>
      </c>
      <c r="K52">
        <v>2020</v>
      </c>
      <c r="L52">
        <v>2025</v>
      </c>
      <c r="M52">
        <v>2030</v>
      </c>
      <c r="N52">
        <v>2035</v>
      </c>
      <c r="O52" s="1"/>
      <c r="Y52" s="5"/>
      <c r="Z52" s="5"/>
      <c r="AA52" s="5"/>
    </row>
    <row r="53" spans="1:27" x14ac:dyDescent="0.35">
      <c r="C53" t="s">
        <v>31</v>
      </c>
      <c r="D53" t="s">
        <v>9</v>
      </c>
      <c r="E53">
        <f>B22/E39</f>
        <v>7.9615138328051023E-9</v>
      </c>
      <c r="F53">
        <f>C22/F39</f>
        <v>7.6508693982777569E-9</v>
      </c>
      <c r="G53">
        <f>D22/G39</f>
        <v>7.0903217738499002E-9</v>
      </c>
      <c r="H53">
        <f>E22/H39</f>
        <v>6.671891224489004E-9</v>
      </c>
      <c r="I53">
        <f>F22/I39</f>
        <v>6.2041136393607776E-9</v>
      </c>
      <c r="J53" s="2">
        <f t="shared" ref="J53:N58" si="11">E53/$E53</f>
        <v>1</v>
      </c>
      <c r="K53" s="2">
        <f t="shared" si="11"/>
        <v>0.9609817377635711</v>
      </c>
      <c r="L53" s="2">
        <f t="shared" si="11"/>
        <v>0.8905745719657624</v>
      </c>
      <c r="M53" s="2">
        <f t="shared" si="11"/>
        <v>0.83801791526100733</v>
      </c>
      <c r="N53" s="2">
        <f t="shared" si="11"/>
        <v>0.77926306097679232</v>
      </c>
      <c r="Y53" s="5"/>
      <c r="Z53" s="5"/>
      <c r="AA53" s="5"/>
    </row>
    <row r="54" spans="1:27" x14ac:dyDescent="0.35">
      <c r="C54" t="s">
        <v>31</v>
      </c>
      <c r="D54" t="s">
        <v>18</v>
      </c>
      <c r="E54">
        <f>G22/E39</f>
        <v>3.374635932428749E-10</v>
      </c>
      <c r="F54">
        <f>H22/F39</f>
        <v>3.8532704750487528E-10</v>
      </c>
      <c r="G54">
        <f>I22/G39</f>
        <v>4.3907576407002705E-10</v>
      </c>
      <c r="H54">
        <f>J22/H39</f>
        <v>4.2993443873407029E-10</v>
      </c>
      <c r="I54">
        <f>K22/I39</f>
        <v>4.3260683950642263E-10</v>
      </c>
      <c r="J54" s="2">
        <f t="shared" si="11"/>
        <v>1</v>
      </c>
      <c r="K54" s="2">
        <f t="shared" si="11"/>
        <v>1.141832942042885</v>
      </c>
      <c r="L54" s="2">
        <f t="shared" si="11"/>
        <v>1.3011055795699453</v>
      </c>
      <c r="M54" s="2">
        <f t="shared" si="11"/>
        <v>1.2740172490981672</v>
      </c>
      <c r="N54" s="2">
        <f t="shared" si="11"/>
        <v>1.2819363278546982</v>
      </c>
      <c r="Y54" s="5"/>
      <c r="Z54" s="5"/>
      <c r="AA54" s="5"/>
    </row>
    <row r="55" spans="1:27" x14ac:dyDescent="0.35">
      <c r="C55" t="s">
        <v>31</v>
      </c>
      <c r="D55" t="s">
        <v>17</v>
      </c>
      <c r="E55">
        <f>L22/E39</f>
        <v>1.4247752820651185E-10</v>
      </c>
      <c r="F55">
        <f>M22/F39</f>
        <v>1.630565222674824E-10</v>
      </c>
      <c r="G55">
        <f>N22/G39</f>
        <v>1.8622044502486554E-10</v>
      </c>
      <c r="H55">
        <f>O22/H39</f>
        <v>1.8273987232595136E-10</v>
      </c>
      <c r="I55">
        <f>P22/I39</f>
        <v>1.8436508439584331E-10</v>
      </c>
      <c r="J55" s="2">
        <f t="shared" si="11"/>
        <v>1</v>
      </c>
      <c r="K55" s="2">
        <f t="shared" si="11"/>
        <v>1.144436770626331</v>
      </c>
      <c r="L55" s="2">
        <f t="shared" si="11"/>
        <v>1.3070162528012923</v>
      </c>
      <c r="M55" s="2">
        <f t="shared" si="11"/>
        <v>1.2825873288669205</v>
      </c>
      <c r="N55" s="2">
        <f t="shared" si="11"/>
        <v>1.2939941246637729</v>
      </c>
      <c r="Y55" s="5"/>
      <c r="Z55" s="5"/>
      <c r="AA55" s="5"/>
    </row>
    <row r="56" spans="1:27" x14ac:dyDescent="0.35">
      <c r="C56" t="s">
        <v>31</v>
      </c>
      <c r="D56" t="s">
        <v>22</v>
      </c>
      <c r="E56">
        <f>Q22/E39</f>
        <v>1.5486691979058042E-10</v>
      </c>
      <c r="F56">
        <f>R22/F39</f>
        <v>1.7723539831144166E-10</v>
      </c>
      <c r="G56">
        <f>S22/G39</f>
        <v>2.024135828888382E-10</v>
      </c>
      <c r="H56">
        <f>T22/H39</f>
        <v>1.9863035029002847E-10</v>
      </c>
      <c r="I56">
        <f>U22/I39</f>
        <v>2.0039688534388615E-10</v>
      </c>
      <c r="J56" s="2">
        <f t="shared" si="11"/>
        <v>1</v>
      </c>
      <c r="K56" s="2">
        <f t="shared" si="11"/>
        <v>1.1444367754657299</v>
      </c>
      <c r="L56" s="2">
        <f t="shared" si="11"/>
        <v>1.3070162637866951</v>
      </c>
      <c r="M56" s="2">
        <f t="shared" si="11"/>
        <v>1.2825873372998402</v>
      </c>
      <c r="N56" s="2">
        <f t="shared" si="11"/>
        <v>1.2939941313152858</v>
      </c>
      <c r="Y56" s="5"/>
      <c r="Z56" s="5"/>
      <c r="AA56" s="5"/>
    </row>
    <row r="57" spans="1:27" x14ac:dyDescent="0.35">
      <c r="C57" t="s">
        <v>31</v>
      </c>
      <c r="D57" t="s">
        <v>21</v>
      </c>
      <c r="E57">
        <f>V22/E39</f>
        <v>5.8202555080209619E-10</v>
      </c>
      <c r="F57">
        <f>W22/F39</f>
        <v>6.6943398710412569E-10</v>
      </c>
      <c r="G57">
        <f>X22/G39</f>
        <v>7.6830440966395046E-10</v>
      </c>
      <c r="H57">
        <f>Y22/H39</f>
        <v>7.558823354148793E-10</v>
      </c>
      <c r="I57">
        <f>Z22/I39</f>
        <v>7.652150256532651E-10</v>
      </c>
      <c r="J57" s="2">
        <f t="shared" si="11"/>
        <v>1</v>
      </c>
      <c r="K57" s="2">
        <f t="shared" si="11"/>
        <v>1.1501797235217095</v>
      </c>
      <c r="L57" s="2">
        <f t="shared" si="11"/>
        <v>1.3200527169385283</v>
      </c>
      <c r="M57" s="2">
        <f t="shared" si="11"/>
        <v>1.2987098837382467</v>
      </c>
      <c r="N57" s="2">
        <f t="shared" si="11"/>
        <v>1.3147447300186621</v>
      </c>
      <c r="Y57" s="5"/>
      <c r="Z57" s="5"/>
      <c r="AA57" s="5"/>
    </row>
    <row r="58" spans="1:27" x14ac:dyDescent="0.35">
      <c r="C58" t="s">
        <v>31</v>
      </c>
      <c r="D58" t="s">
        <v>30</v>
      </c>
      <c r="E58">
        <f>AA22/E39</f>
        <v>9.5878135534525114E-10</v>
      </c>
      <c r="F58">
        <f>AB22/F39</f>
        <v>1.0957255341084473E-9</v>
      </c>
      <c r="G58">
        <f>AC22/G39</f>
        <v>1.2496490588107859E-9</v>
      </c>
      <c r="H58">
        <f>AD22/H39</f>
        <v>1.2269850494416386E-9</v>
      </c>
      <c r="I58">
        <f>AE22/I39</f>
        <v>1.2384289149704689E-9</v>
      </c>
      <c r="J58" s="2">
        <f t="shared" si="11"/>
        <v>1</v>
      </c>
      <c r="K58" s="2">
        <f t="shared" si="11"/>
        <v>1.1428314995903142</v>
      </c>
      <c r="L58" s="2">
        <f t="shared" si="11"/>
        <v>1.3033722984327278</v>
      </c>
      <c r="M58" s="2">
        <f t="shared" si="11"/>
        <v>1.2797339483096322</v>
      </c>
      <c r="N58" s="2">
        <f t="shared" si="11"/>
        <v>1.2916697931871217</v>
      </c>
    </row>
    <row r="59" spans="1:27" x14ac:dyDescent="0.35">
      <c r="T59" s="6"/>
      <c r="U59" s="6"/>
      <c r="V59" s="6"/>
      <c r="W59" s="6"/>
      <c r="X59" s="6"/>
    </row>
    <row r="60" spans="1:27" s="10" customFormat="1" x14ac:dyDescent="0.35">
      <c r="A60" s="10" t="s">
        <v>50</v>
      </c>
      <c r="H60" s="13"/>
      <c r="I60" s="13"/>
      <c r="J60" s="13"/>
      <c r="K60" s="13"/>
      <c r="L60" s="13"/>
      <c r="M60" s="13"/>
      <c r="N60" s="13"/>
      <c r="O60" s="13"/>
      <c r="T60" s="14"/>
      <c r="V60" s="13"/>
    </row>
    <row r="61" spans="1:27" x14ac:dyDescent="0.35">
      <c r="H61" s="4"/>
      <c r="I61" s="4"/>
      <c r="J61" s="4"/>
      <c r="K61" s="4"/>
      <c r="L61" s="4"/>
      <c r="M61" s="4"/>
      <c r="N61" s="4"/>
      <c r="O61" s="4"/>
      <c r="T61" s="7"/>
      <c r="V61" s="4"/>
    </row>
    <row r="62" spans="1:27" x14ac:dyDescent="0.35">
      <c r="B62" t="s">
        <v>11</v>
      </c>
      <c r="C62" t="s">
        <v>0</v>
      </c>
      <c r="D62" t="s">
        <v>12</v>
      </c>
      <c r="E62" t="s">
        <v>13</v>
      </c>
      <c r="F62">
        <v>2015</v>
      </c>
      <c r="G62" s="15">
        <v>2020</v>
      </c>
      <c r="H62">
        <v>2025</v>
      </c>
      <c r="I62" s="15">
        <v>2030</v>
      </c>
      <c r="J62">
        <v>2035</v>
      </c>
      <c r="K62" s="15">
        <v>2040</v>
      </c>
      <c r="L62">
        <v>2045</v>
      </c>
      <c r="M62" s="15">
        <v>2050</v>
      </c>
      <c r="N62" s="4" t="s">
        <v>14</v>
      </c>
      <c r="T62" s="7"/>
      <c r="V62" s="4"/>
    </row>
    <row r="63" spans="1:27" x14ac:dyDescent="0.35">
      <c r="B63" t="s">
        <v>40</v>
      </c>
      <c r="C63" t="s">
        <v>15</v>
      </c>
      <c r="D63" t="s">
        <v>29</v>
      </c>
      <c r="E63" t="s">
        <v>8</v>
      </c>
      <c r="F63">
        <v>0.34300000000000003</v>
      </c>
      <c r="G63">
        <v>0.33900000000000002</v>
      </c>
      <c r="H63">
        <v>0.33300000000000002</v>
      </c>
      <c r="I63">
        <v>0.28100000000000003</v>
      </c>
      <c r="J63">
        <v>0.218</v>
      </c>
      <c r="K63">
        <v>0.193</v>
      </c>
      <c r="L63">
        <v>0.189</v>
      </c>
      <c r="M63">
        <v>0.186</v>
      </c>
      <c r="N63" t="s">
        <v>16</v>
      </c>
      <c r="T63" s="7"/>
      <c r="V63" s="4"/>
    </row>
    <row r="64" spans="1:27" x14ac:dyDescent="0.35">
      <c r="B64" t="s">
        <v>40</v>
      </c>
      <c r="C64" t="s">
        <v>15</v>
      </c>
      <c r="D64" t="s">
        <v>29</v>
      </c>
      <c r="E64" t="s">
        <v>32</v>
      </c>
      <c r="F64">
        <v>0</v>
      </c>
      <c r="G64">
        <v>0</v>
      </c>
      <c r="H64">
        <v>0</v>
      </c>
      <c r="I64">
        <v>0</v>
      </c>
      <c r="J64">
        <v>2.1299999999999999E-3</v>
      </c>
      <c r="K64">
        <v>5.6299999999999996E-3</v>
      </c>
      <c r="L64">
        <v>1.46E-2</v>
      </c>
      <c r="M64">
        <v>3.0300000000000001E-2</v>
      </c>
      <c r="N64" t="s">
        <v>16</v>
      </c>
      <c r="T64" s="7"/>
      <c r="V64" s="4"/>
    </row>
    <row r="65" spans="2:22" x14ac:dyDescent="0.35">
      <c r="B65" t="s">
        <v>40</v>
      </c>
      <c r="C65" t="s">
        <v>15</v>
      </c>
      <c r="D65" t="s">
        <v>29</v>
      </c>
      <c r="E65" t="s">
        <v>33</v>
      </c>
      <c r="F65">
        <v>0</v>
      </c>
      <c r="G65">
        <v>0</v>
      </c>
      <c r="H65">
        <v>0</v>
      </c>
      <c r="I65">
        <v>0</v>
      </c>
      <c r="J65">
        <v>1.4300000000000001E-3</v>
      </c>
      <c r="K65">
        <v>4.7099999999999998E-3</v>
      </c>
      <c r="L65">
        <v>1.41E-2</v>
      </c>
      <c r="M65">
        <v>3.27E-2</v>
      </c>
      <c r="N65" t="s">
        <v>16</v>
      </c>
      <c r="T65" s="7"/>
      <c r="V65" s="4"/>
    </row>
    <row r="66" spans="2:22" x14ac:dyDescent="0.35">
      <c r="B66" t="s">
        <v>40</v>
      </c>
      <c r="C66" t="s">
        <v>15</v>
      </c>
      <c r="D66" t="s">
        <v>29</v>
      </c>
      <c r="E66" t="s">
        <v>10</v>
      </c>
      <c r="F66">
        <v>0</v>
      </c>
      <c r="G66">
        <v>1.5699999999999999E-2</v>
      </c>
      <c r="H66">
        <v>5.3800000000000001E-2</v>
      </c>
      <c r="I66">
        <v>0.14099999999999999</v>
      </c>
      <c r="J66">
        <v>0.23499999999999999</v>
      </c>
      <c r="K66">
        <v>0.27900000000000003</v>
      </c>
      <c r="L66">
        <v>0.29599999999999999</v>
      </c>
      <c r="M66">
        <v>0.29599999999999999</v>
      </c>
      <c r="N66" t="s">
        <v>16</v>
      </c>
    </row>
    <row r="67" spans="2:22" x14ac:dyDescent="0.35">
      <c r="B67" t="s">
        <v>40</v>
      </c>
      <c r="C67" t="s">
        <v>15</v>
      </c>
      <c r="D67" t="s">
        <v>31</v>
      </c>
      <c r="E67" t="s">
        <v>8</v>
      </c>
      <c r="F67">
        <v>1.43</v>
      </c>
      <c r="G67">
        <v>1.41</v>
      </c>
      <c r="H67">
        <v>1.37</v>
      </c>
      <c r="I67">
        <v>1.1100000000000001</v>
      </c>
      <c r="J67">
        <v>0.73499999999999999</v>
      </c>
      <c r="K67">
        <v>0.624</v>
      </c>
      <c r="L67">
        <v>0.60099999999999998</v>
      </c>
      <c r="M67">
        <v>0.59399999999999997</v>
      </c>
      <c r="N67" t="s">
        <v>16</v>
      </c>
    </row>
    <row r="68" spans="2:22" x14ac:dyDescent="0.35">
      <c r="B68" t="s">
        <v>40</v>
      </c>
      <c r="C68" t="s">
        <v>15</v>
      </c>
      <c r="D68" t="s">
        <v>31</v>
      </c>
      <c r="E68" t="s">
        <v>32</v>
      </c>
      <c r="F68">
        <v>0</v>
      </c>
      <c r="G68">
        <v>0</v>
      </c>
      <c r="H68">
        <v>0</v>
      </c>
      <c r="I68">
        <v>0</v>
      </c>
      <c r="J68">
        <v>7.0699999999999997E-5</v>
      </c>
      <c r="K68">
        <v>2.02E-4</v>
      </c>
      <c r="L68">
        <v>5.8200000000000005E-4</v>
      </c>
      <c r="M68">
        <v>1.39E-3</v>
      </c>
      <c r="N68" t="s">
        <v>16</v>
      </c>
    </row>
    <row r="69" spans="2:22" x14ac:dyDescent="0.35">
      <c r="B69" t="s">
        <v>40</v>
      </c>
      <c r="C69" t="s">
        <v>15</v>
      </c>
      <c r="D69" t="s">
        <v>31</v>
      </c>
      <c r="E69" t="s">
        <v>33</v>
      </c>
      <c r="F69">
        <v>0</v>
      </c>
      <c r="G69">
        <v>0</v>
      </c>
      <c r="H69">
        <v>0</v>
      </c>
      <c r="I69">
        <v>0</v>
      </c>
      <c r="J69">
        <v>1.17E-3</v>
      </c>
      <c r="K69">
        <v>4.6100000000000004E-3</v>
      </c>
      <c r="L69">
        <v>1.7299999999999999E-2</v>
      </c>
      <c r="M69">
        <v>5.2499999999999998E-2</v>
      </c>
      <c r="N69" t="s">
        <v>16</v>
      </c>
    </row>
    <row r="70" spans="2:22" x14ac:dyDescent="0.35">
      <c r="B70" t="s">
        <v>40</v>
      </c>
      <c r="C70" t="s">
        <v>15</v>
      </c>
      <c r="D70" t="s">
        <v>31</v>
      </c>
      <c r="E70" t="s">
        <v>10</v>
      </c>
      <c r="F70">
        <v>0</v>
      </c>
      <c r="G70">
        <v>3.7600000000000001E-2</v>
      </c>
      <c r="H70">
        <v>0.13700000000000001</v>
      </c>
      <c r="I70">
        <v>0.41099999999999998</v>
      </c>
      <c r="J70">
        <v>0.79200000000000004</v>
      </c>
      <c r="K70">
        <v>0.93500000000000005</v>
      </c>
      <c r="L70">
        <v>1</v>
      </c>
      <c r="M70">
        <v>1.03</v>
      </c>
      <c r="N70" t="s">
        <v>16</v>
      </c>
    </row>
    <row r="72" spans="2:22" x14ac:dyDescent="0.35">
      <c r="F72" t="s">
        <v>51</v>
      </c>
    </row>
    <row r="73" spans="2:22" x14ac:dyDescent="0.35">
      <c r="F73">
        <v>2015</v>
      </c>
    </row>
    <row r="74" spans="2:22" x14ac:dyDescent="0.35">
      <c r="E74" t="s">
        <v>29</v>
      </c>
      <c r="F74">
        <f>SUM(F63:F66)</f>
        <v>0.34300000000000003</v>
      </c>
    </row>
    <row r="75" spans="2:22" x14ac:dyDescent="0.35">
      <c r="E75" t="s">
        <v>31</v>
      </c>
      <c r="F75">
        <f>SUM(F67:F70)</f>
        <v>1.43</v>
      </c>
    </row>
    <row r="76" spans="2:22" x14ac:dyDescent="0.35">
      <c r="K76" t="s">
        <v>63</v>
      </c>
      <c r="N76" t="s">
        <v>64</v>
      </c>
      <c r="P76" t="s">
        <v>67</v>
      </c>
    </row>
    <row r="77" spans="2:22" x14ac:dyDescent="0.35">
      <c r="K77" t="s">
        <v>75</v>
      </c>
    </row>
    <row r="78" spans="2:22" x14ac:dyDescent="0.35">
      <c r="E78" t="s">
        <v>52</v>
      </c>
      <c r="H78" t="s">
        <v>68</v>
      </c>
      <c r="L78" t="s">
        <v>65</v>
      </c>
      <c r="M78" t="s">
        <v>66</v>
      </c>
      <c r="N78" t="s">
        <v>65</v>
      </c>
      <c r="O78" t="s">
        <v>66</v>
      </c>
      <c r="P78" t="s">
        <v>65</v>
      </c>
      <c r="Q78" t="s">
        <v>66</v>
      </c>
    </row>
    <row r="79" spans="2:22" x14ac:dyDescent="0.35">
      <c r="F79" s="21" t="s">
        <v>29</v>
      </c>
      <c r="G79" s="30" t="s">
        <v>31</v>
      </c>
      <c r="H79" s="37" t="s">
        <v>29</v>
      </c>
      <c r="I79" s="38" t="s">
        <v>31</v>
      </c>
      <c r="K79" t="s">
        <v>30</v>
      </c>
      <c r="L79">
        <f>GCAMResult_preScale!G32</f>
        <v>6.4431486880466474E-2</v>
      </c>
      <c r="M79">
        <f>GCAMResult_preScale!H32</f>
        <v>9.0909090909090905E-3</v>
      </c>
      <c r="N79" s="17">
        <f>AA21/F74</f>
        <v>6.435302385409411E-2</v>
      </c>
      <c r="O79" s="17">
        <f>AA22/F75</f>
        <v>9.1184800228639278E-3</v>
      </c>
      <c r="P79" s="8">
        <f>N79/L79</f>
        <v>0.99878222542779549</v>
      </c>
      <c r="Q79" s="4">
        <f t="shared" ref="Q79:Q83" si="12">O79/M79</f>
        <v>1.0030328025150321</v>
      </c>
    </row>
    <row r="80" spans="2:22" x14ac:dyDescent="0.35">
      <c r="D80" s="21" t="s">
        <v>9</v>
      </c>
      <c r="E80" s="34">
        <v>2015</v>
      </c>
      <c r="F80" s="31">
        <f>GCAMResult_preScale!G27</f>
        <v>0.46064139941690957</v>
      </c>
      <c r="G80" s="23">
        <f>GCAMResult_preScale!H27</f>
        <v>7.5524475524475526E-2</v>
      </c>
      <c r="H80" s="22">
        <f>F80*P$81</f>
        <v>0.46064988069532392</v>
      </c>
      <c r="I80" s="23">
        <f>G80*Q$81</f>
        <v>7.5717893794510063E-2</v>
      </c>
      <c r="K80" t="s">
        <v>21</v>
      </c>
      <c r="L80">
        <f>GCAMResult_preScale!G31</f>
        <v>1.8192419825072883E-2</v>
      </c>
      <c r="M80">
        <f>GCAMResult_preScale!H31</f>
        <v>5.5174825174825175E-3</v>
      </c>
      <c r="N80" s="17">
        <f>V21/F74</f>
        <v>1.8196297645206198E-2</v>
      </c>
      <c r="O80" s="17">
        <f>V22/F75</f>
        <v>5.5353478957402159E-3</v>
      </c>
      <c r="P80" s="8">
        <f>N80/L80</f>
        <v>1.0002131558182255</v>
      </c>
      <c r="Q80" s="4">
        <f t="shared" si="12"/>
        <v>1.0032379582900517</v>
      </c>
    </row>
    <row r="81" spans="4:17" x14ac:dyDescent="0.35">
      <c r="D81" s="24"/>
      <c r="E81" s="35">
        <v>2020</v>
      </c>
      <c r="F81" s="32">
        <f>F80*'Calcs (2)'!K45</f>
        <v>0.35402488632966289</v>
      </c>
      <c r="G81" s="26">
        <f>$G80*'Calcs (2)'!K53</f>
        <v>7.2577641733192783E-2</v>
      </c>
      <c r="H81" s="25">
        <f t="shared" ref="H81:H84" si="13">F81*P$81</f>
        <v>0.35403140459664967</v>
      </c>
      <c r="I81" s="26">
        <f t="shared" ref="I81:I84" si="14">G81*Q$81</f>
        <v>7.27635131584458E-2</v>
      </c>
      <c r="K81" t="s">
        <v>9</v>
      </c>
      <c r="L81">
        <f>GCAMResult_preScale!G27</f>
        <v>0.46064139941690957</v>
      </c>
      <c r="M81">
        <f>GCAMResult_preScale!H27</f>
        <v>7.5524475524475526E-2</v>
      </c>
      <c r="N81" s="16">
        <f>B21/F74</f>
        <v>0.46064988069532392</v>
      </c>
      <c r="O81" s="16">
        <f>B22/F75</f>
        <v>7.5717893794510063E-2</v>
      </c>
      <c r="P81" s="8">
        <f t="shared" ref="P81:P83" si="15">N81/L81</f>
        <v>1.0000184118892159</v>
      </c>
      <c r="Q81" s="4">
        <f t="shared" si="12"/>
        <v>1.0025610011680499</v>
      </c>
    </row>
    <row r="82" spans="4:17" x14ac:dyDescent="0.35">
      <c r="D82" s="24"/>
      <c r="E82" s="35">
        <v>2025</v>
      </c>
      <c r="F82" s="32">
        <f>F80*'Calcs (2)'!L45</f>
        <v>0.21665467701862817</v>
      </c>
      <c r="G82" s="26">
        <f>$G80*'Calcs (2)'!L53</f>
        <v>6.7260177463148496E-2</v>
      </c>
      <c r="H82" s="25">
        <f t="shared" si="13"/>
        <v>0.21665866604053954</v>
      </c>
      <c r="I82" s="26">
        <f t="shared" si="14"/>
        <v>6.7432430856194867E-2</v>
      </c>
      <c r="K82" t="s">
        <v>22</v>
      </c>
      <c r="L82">
        <f>GCAMResult_preScale!G30</f>
        <v>1.2623906705539357E-2</v>
      </c>
      <c r="M82">
        <f>GCAMResult_preScale!H30</f>
        <v>1.4685314685314685E-3</v>
      </c>
      <c r="N82" s="17">
        <f>Q21/F74</f>
        <v>1.2613913232195064E-2</v>
      </c>
      <c r="O82" s="17">
        <f>Q22/F75</f>
        <v>1.4728602161901356E-3</v>
      </c>
      <c r="P82" s="8">
        <f t="shared" si="15"/>
        <v>0.99920836920159528</v>
      </c>
      <c r="Q82" s="4">
        <f t="shared" si="12"/>
        <v>1.0029476710247114</v>
      </c>
    </row>
    <row r="83" spans="4:17" x14ac:dyDescent="0.35">
      <c r="D83" s="24"/>
      <c r="E83" s="35">
        <v>2030</v>
      </c>
      <c r="F83" s="32">
        <f>F80*'Calcs (2)'!M45</f>
        <v>0.18107038071963166</v>
      </c>
      <c r="G83" s="26">
        <f>$G80*'Calcs (2)'!M53</f>
        <v>6.3290863530201955E-2</v>
      </c>
      <c r="H83" s="25">
        <f t="shared" si="13"/>
        <v>0.18107371456742175</v>
      </c>
      <c r="I83" s="26">
        <f t="shared" si="14"/>
        <v>6.3452951505629684E-2</v>
      </c>
      <c r="K83" t="s">
        <v>17</v>
      </c>
      <c r="L83">
        <f>GCAMResult_preScale!G29</f>
        <v>1.2244897959183671E-2</v>
      </c>
      <c r="M83">
        <f>GCAMResult_preScale!H29</f>
        <v>1.3496503496503497E-3</v>
      </c>
      <c r="N83" s="17">
        <f>L21/F74</f>
        <v>1.222530013274194E-2</v>
      </c>
      <c r="O83" s="17">
        <f>L22/F75</f>
        <v>1.3550310374885043E-3</v>
      </c>
      <c r="P83" s="8">
        <f t="shared" si="15"/>
        <v>0.99839951084059197</v>
      </c>
      <c r="Q83" s="4">
        <f t="shared" si="12"/>
        <v>1.0039867272583218</v>
      </c>
    </row>
    <row r="84" spans="4:17" x14ac:dyDescent="0.35">
      <c r="D84" s="27"/>
      <c r="E84" s="36">
        <v>2035</v>
      </c>
      <c r="F84" s="33">
        <f>F80*'Calcs (2)'!N45</f>
        <v>0.13710616206376053</v>
      </c>
      <c r="G84" s="29">
        <f>$G80*'Calcs (2)'!N53</f>
        <v>5.8853433975869632E-2</v>
      </c>
      <c r="H84" s="28">
        <f t="shared" si="13"/>
        <v>0.13710868644722726</v>
      </c>
      <c r="I84" s="29">
        <f t="shared" si="14"/>
        <v>5.9004157689025581E-2</v>
      </c>
      <c r="K84" t="s">
        <v>18</v>
      </c>
      <c r="L84">
        <f>GCAMResult_preScale!G28</f>
        <v>4.78134110787172E-2</v>
      </c>
      <c r="M84">
        <f>GCAMResult_preScale!H28</f>
        <v>0.37622377622377629</v>
      </c>
      <c r="N84" s="17">
        <f>G21/F74</f>
        <v>1.8062427187860064E-3</v>
      </c>
      <c r="O84" s="17">
        <f>G22/F75</f>
        <v>3.2094439637084604E-3</v>
      </c>
      <c r="P84" s="4">
        <f>N84/L84</f>
        <v>3.7776905642902453E-2</v>
      </c>
      <c r="Q84" s="4">
        <f>O84/M84</f>
        <v>8.530678193500181E-3</v>
      </c>
    </row>
    <row r="85" spans="4:17" x14ac:dyDescent="0.35">
      <c r="D85" s="21" t="s">
        <v>18</v>
      </c>
      <c r="E85" s="34">
        <v>2015</v>
      </c>
      <c r="F85" s="31">
        <f>L84</f>
        <v>4.78134110787172E-2</v>
      </c>
      <c r="G85" s="23">
        <f>M84</f>
        <v>0.37622377622377629</v>
      </c>
      <c r="H85" s="22">
        <f>F85*P$84</f>
        <v>1.8062427187860064E-3</v>
      </c>
      <c r="I85" s="23">
        <f>G85*Q$84</f>
        <v>3.2094439637084604E-3</v>
      </c>
    </row>
    <row r="86" spans="4:17" x14ac:dyDescent="0.35">
      <c r="D86" s="24"/>
      <c r="E86" s="35">
        <v>2020</v>
      </c>
      <c r="F86" s="32">
        <f>F85*'Calcs (2)'!K46</f>
        <v>3.183145928062836E-2</v>
      </c>
      <c r="G86" s="26">
        <f>$G85*'Calcs (2)'!K54</f>
        <v>0.42958470127207848</v>
      </c>
      <c r="H86" s="25">
        <f t="shared" ref="H86:H89" si="16">F86*P$84</f>
        <v>1.2024940337201891E-3</v>
      </c>
      <c r="I86" s="26">
        <f t="shared" ref="I86:I89" si="17">G86*Q$84</f>
        <v>3.6646488434030093E-3</v>
      </c>
    </row>
    <row r="87" spans="4:17" x14ac:dyDescent="0.35">
      <c r="D87" s="24"/>
      <c r="E87" s="35">
        <v>2025</v>
      </c>
      <c r="F87" s="32">
        <f>F85*'Calcs (2)'!L46</f>
        <v>1.2024310077085237E-2</v>
      </c>
      <c r="G87" s="26">
        <f>$G85*'Calcs (2)'!L54</f>
        <v>0.48950685441162983</v>
      </c>
      <c r="H87" s="25">
        <f t="shared" si="16"/>
        <v>4.5424122720305013E-4</v>
      </c>
      <c r="I87" s="26">
        <f t="shared" si="17"/>
        <v>4.1758254484981581E-3</v>
      </c>
    </row>
    <row r="88" spans="4:17" x14ac:dyDescent="0.35">
      <c r="D88" s="24"/>
      <c r="E88" s="35">
        <v>2030</v>
      </c>
      <c r="F88" s="32">
        <f>F85*'Calcs (2)'!M46</f>
        <v>1.2665053985653285E-2</v>
      </c>
      <c r="G88" s="26">
        <f>$G85*'Calcs (2)'!M54</f>
        <v>0.47931558042993988</v>
      </c>
      <c r="H88" s="25">
        <f t="shared" si="16"/>
        <v>4.7844654937828981E-4</v>
      </c>
      <c r="I88" s="26">
        <f t="shared" si="17"/>
        <v>4.0888869697785699E-3</v>
      </c>
    </row>
    <row r="89" spans="4:17" x14ac:dyDescent="0.35">
      <c r="D89" s="27"/>
      <c r="E89" s="36">
        <v>2035</v>
      </c>
      <c r="F89" s="33">
        <f>F85*'Calcs (2)'!N46</f>
        <v>1.1322925530050865E-2</v>
      </c>
      <c r="G89" s="29">
        <f>$G85*'Calcs (2)'!N54</f>
        <v>0.48229492614393549</v>
      </c>
      <c r="H89" s="28">
        <f t="shared" si="16"/>
        <v>4.2774508935034276E-4</v>
      </c>
      <c r="I89" s="29">
        <f t="shared" si="17"/>
        <v>4.1143028092918508E-3</v>
      </c>
    </row>
    <row r="90" spans="4:17" x14ac:dyDescent="0.35">
      <c r="D90" s="21" t="s">
        <v>17</v>
      </c>
      <c r="E90" s="34">
        <v>2015</v>
      </c>
      <c r="F90" s="31">
        <f>L83</f>
        <v>1.2244897959183671E-2</v>
      </c>
      <c r="G90" s="23">
        <f>M83</f>
        <v>1.3496503496503497E-3</v>
      </c>
      <c r="H90" s="22">
        <f t="shared" ref="H90" si="18">F90*P$83</f>
        <v>1.222530013274194E-2</v>
      </c>
      <c r="I90" s="23">
        <f t="shared" ref="I90:I94" si="19">G90*Q$83</f>
        <v>1.3550310374885043E-3</v>
      </c>
    </row>
    <row r="91" spans="4:17" x14ac:dyDescent="0.35">
      <c r="D91" s="24"/>
      <c r="E91" s="35">
        <v>2020</v>
      </c>
      <c r="F91" s="32">
        <f>F90*'Calcs (2)'!K47</f>
        <v>9.4202391870784608E-3</v>
      </c>
      <c r="G91" s="26">
        <f>$G90*'Calcs (2)'!K55</f>
        <v>1.5445894876285446E-3</v>
      </c>
      <c r="H91" s="25">
        <f t="shared" ref="H91:H94" si="20">F91*P$83</f>
        <v>9.4051621963805107E-3</v>
      </c>
      <c r="I91" s="26">
        <f t="shared" si="19"/>
        <v>1.5507473446417907E-3</v>
      </c>
    </row>
    <row r="92" spans="4:17" x14ac:dyDescent="0.35">
      <c r="D92" s="24"/>
      <c r="E92" s="35">
        <v>2025</v>
      </c>
      <c r="F92" s="32">
        <f>F90*'Calcs (2)'!L47</f>
        <v>5.7792942694634662E-3</v>
      </c>
      <c r="G92" s="26">
        <f>$G90*'Calcs (2)'!L55</f>
        <v>1.7640149425919539E-3</v>
      </c>
      <c r="H92" s="25">
        <f t="shared" si="20"/>
        <v>5.7700445716361614E-3</v>
      </c>
      <c r="I92" s="26">
        <f t="shared" si="19"/>
        <v>1.7710475890476722E-3</v>
      </c>
    </row>
    <row r="93" spans="4:17" x14ac:dyDescent="0.35">
      <c r="D93" s="24"/>
      <c r="E93" s="35">
        <v>2030</v>
      </c>
      <c r="F93" s="32">
        <f>F90*'Calcs (2)'!M47</f>
        <v>4.814743059967045E-3</v>
      </c>
      <c r="G93" s="26">
        <f>$G90*'Calcs (2)'!M55</f>
        <v>1.7310444368623472E-3</v>
      </c>
      <c r="H93" s="25">
        <f t="shared" si="20"/>
        <v>4.8070371158942327E-3</v>
      </c>
      <c r="I93" s="26">
        <f t="shared" si="19"/>
        <v>1.7379456389041527E-3</v>
      </c>
    </row>
    <row r="94" spans="4:17" x14ac:dyDescent="0.35">
      <c r="D94" s="27"/>
      <c r="E94" s="36">
        <v>2035</v>
      </c>
      <c r="F94" s="33">
        <f>F90*'Calcs (2)'!N47</f>
        <v>3.6296556378740859E-3</v>
      </c>
      <c r="G94" s="29">
        <f>$G90*'Calcs (2)'!N55</f>
        <v>1.7464396227979593E-3</v>
      </c>
      <c r="H94" s="28">
        <f t="shared" si="20"/>
        <v>3.6238464133732844E-3</v>
      </c>
      <c r="I94" s="29">
        <f t="shared" si="19"/>
        <v>1.7534022012471813E-3</v>
      </c>
    </row>
    <row r="95" spans="4:17" x14ac:dyDescent="0.35">
      <c r="D95" s="21" t="s">
        <v>22</v>
      </c>
      <c r="E95" s="34">
        <v>2015</v>
      </c>
      <c r="F95" s="31">
        <f>L82</f>
        <v>1.2623906705539357E-2</v>
      </c>
      <c r="G95" s="23">
        <f>M82</f>
        <v>1.4685314685314685E-3</v>
      </c>
      <c r="H95" s="22">
        <f>F95*P$82</f>
        <v>1.2613913232195064E-2</v>
      </c>
      <c r="I95" s="23">
        <f t="shared" ref="I95:I99" si="21">G95*Q$82</f>
        <v>1.4728602161901356E-3</v>
      </c>
    </row>
    <row r="96" spans="4:17" x14ac:dyDescent="0.35">
      <c r="D96" s="24"/>
      <c r="E96" s="35">
        <v>2020</v>
      </c>
      <c r="F96" s="32">
        <f>F95*'Calcs (2)'!K48</f>
        <v>9.7118109378161854E-3</v>
      </c>
      <c r="G96" s="26">
        <f>$G95*'Calcs (2)'!K56</f>
        <v>1.6806414185161068E-3</v>
      </c>
      <c r="H96" s="25">
        <f t="shared" ref="H96:H99" si="22">F96*P$82</f>
        <v>9.7041227691695257E-3</v>
      </c>
      <c r="I96" s="26">
        <f t="shared" si="21"/>
        <v>1.6855953965283965E-3</v>
      </c>
    </row>
    <row r="97" spans="4:9" x14ac:dyDescent="0.35">
      <c r="D97" s="24"/>
      <c r="E97" s="35">
        <v>2025</v>
      </c>
      <c r="F97" s="32">
        <f>F95*'Calcs (2)'!L48</f>
        <v>5.9581621128714617E-3</v>
      </c>
      <c r="G97" s="26">
        <f>$G95*'Calcs (2)'!L56</f>
        <v>1.9193945132531887E-3</v>
      </c>
      <c r="H97" s="25">
        <f t="shared" si="22"/>
        <v>5.9534454482410241E-3</v>
      </c>
      <c r="I97" s="26">
        <f t="shared" si="21"/>
        <v>1.9250522568448952E-3</v>
      </c>
    </row>
    <row r="98" spans="4:9" x14ac:dyDescent="0.35">
      <c r="D98" s="24"/>
      <c r="E98" s="35">
        <v>2030</v>
      </c>
      <c r="F98" s="32">
        <f>F95*'Calcs (2)'!M48</f>
        <v>4.9637461725843234E-3</v>
      </c>
      <c r="G98" s="26">
        <f>$G95*'Calcs (2)'!M56</f>
        <v>1.8835198659648002E-3</v>
      </c>
      <c r="H98" s="25">
        <f t="shared" si="22"/>
        <v>4.9598167182386419E-3</v>
      </c>
      <c r="I98" s="26">
        <f t="shared" si="21"/>
        <v>1.889071862898173E-3</v>
      </c>
    </row>
    <row r="99" spans="4:9" x14ac:dyDescent="0.35">
      <c r="D99" s="27"/>
      <c r="E99" s="36">
        <v>2035</v>
      </c>
      <c r="F99" s="33">
        <f>F95*'Calcs (2)'!N48</f>
        <v>3.7419664198281022E-3</v>
      </c>
      <c r="G99" s="29">
        <f>$G95*'Calcs (2)'!N56</f>
        <v>1.9002711019315385E-3</v>
      </c>
      <c r="H99" s="28">
        <f t="shared" si="22"/>
        <v>3.7390041639635699E-3</v>
      </c>
      <c r="I99" s="29">
        <f t="shared" si="21"/>
        <v>1.9058724759977985E-3</v>
      </c>
    </row>
    <row r="100" spans="4:9" x14ac:dyDescent="0.35">
      <c r="D100" s="21" t="s">
        <v>20</v>
      </c>
      <c r="E100" s="34">
        <v>2015</v>
      </c>
      <c r="F100" s="31">
        <f>L80</f>
        <v>1.8192419825072883E-2</v>
      </c>
      <c r="G100" s="23">
        <f>M80</f>
        <v>5.5174825174825175E-3</v>
      </c>
      <c r="H100" s="22">
        <f>F100*P$80</f>
        <v>1.8196297645206198E-2</v>
      </c>
      <c r="I100" s="23">
        <f>G100*Q$80</f>
        <v>5.535347895740215E-3</v>
      </c>
    </row>
    <row r="101" spans="4:9" x14ac:dyDescent="0.35">
      <c r="D101" s="24"/>
      <c r="E101" s="35">
        <v>2020</v>
      </c>
      <c r="F101" s="32">
        <f>F100*'Calcs (2)'!K49</f>
        <v>1.3824717699141991E-2</v>
      </c>
      <c r="G101" s="26">
        <f>$G100*'Calcs (2)'!K57</f>
        <v>6.3460965164939074E-3</v>
      </c>
      <c r="H101" s="25">
        <f t="shared" ref="H101:H104" si="23">F101*P$80</f>
        <v>1.3827664518154887E-2</v>
      </c>
      <c r="I101" s="26">
        <f t="shared" ref="I101:I104" si="24">G101*Q$80</f>
        <v>6.3666449123189568E-3</v>
      </c>
    </row>
    <row r="102" spans="4:9" x14ac:dyDescent="0.35">
      <c r="D102" s="24"/>
      <c r="E102" s="35">
        <v>2025</v>
      </c>
      <c r="F102" s="32">
        <f>F100*'Calcs (2)'!L49</f>
        <v>8.2222165334810624E-3</v>
      </c>
      <c r="G102" s="26">
        <f>$G100*'Calcs (2)'!L57</f>
        <v>7.2833677878636283E-3</v>
      </c>
      <c r="H102" s="25">
        <f t="shared" si="23"/>
        <v>8.2239691467738841E-3</v>
      </c>
      <c r="I102" s="26">
        <f t="shared" si="24"/>
        <v>7.306951028971837E-3</v>
      </c>
    </row>
    <row r="103" spans="4:9" x14ac:dyDescent="0.35">
      <c r="D103" s="24"/>
      <c r="E103" s="35">
        <v>2030</v>
      </c>
      <c r="F103" s="32">
        <f>F100*'Calcs (2)'!M49</f>
        <v>6.9632075627411409E-3</v>
      </c>
      <c r="G103" s="26">
        <f>$G100*'Calcs (2)'!M57</f>
        <v>7.1656090788075289E-3</v>
      </c>
      <c r="H103" s="25">
        <f t="shared" si="23"/>
        <v>6.9646918109466504E-3</v>
      </c>
      <c r="I103" s="26">
        <f t="shared" si="24"/>
        <v>7.1888110221275236E-3</v>
      </c>
    </row>
    <row r="104" spans="4:9" x14ac:dyDescent="0.35">
      <c r="D104" s="27"/>
      <c r="E104" s="36">
        <v>2035</v>
      </c>
      <c r="F104" s="33">
        <f>F100*'Calcs (2)'!N49</f>
        <v>5.3376257224378425E-3</v>
      </c>
      <c r="G104" s="29">
        <f>$G100*'Calcs (2)'!N57</f>
        <v>7.2540810628302409E-3</v>
      </c>
      <c r="H104" s="28">
        <f t="shared" si="23"/>
        <v>5.3387634684160896E-3</v>
      </c>
      <c r="I104" s="29">
        <f t="shared" si="24"/>
        <v>7.2775694747443387E-3</v>
      </c>
    </row>
    <row r="105" spans="4:9" x14ac:dyDescent="0.35">
      <c r="D105" s="21" t="s">
        <v>30</v>
      </c>
      <c r="E105" s="34">
        <v>2015</v>
      </c>
      <c r="F105" s="31">
        <f>L79</f>
        <v>6.4431486880466474E-2</v>
      </c>
      <c r="G105" s="23">
        <f>M79</f>
        <v>9.0909090909090905E-3</v>
      </c>
      <c r="H105" s="22">
        <f>F105*P$79</f>
        <v>6.435302385409411E-2</v>
      </c>
      <c r="I105" s="23">
        <f t="shared" ref="I105:I109" si="25">G105*Q$79</f>
        <v>9.1184800228639278E-3</v>
      </c>
    </row>
    <row r="106" spans="4:9" x14ac:dyDescent="0.35">
      <c r="D106" s="24"/>
      <c r="E106" s="35">
        <v>2020</v>
      </c>
      <c r="F106" s="32">
        <f>F105*'Calcs (2)'!K50</f>
        <v>6.0814992079633007E-2</v>
      </c>
      <c r="G106" s="26">
        <f>$G105*'Calcs (2)'!K58</f>
        <v>1.0389377269002855E-2</v>
      </c>
      <c r="H106" s="25">
        <f t="shared" ref="H106:H109" si="26">F106*P$79</f>
        <v>6.0740933128669614E-2</v>
      </c>
      <c r="I106" s="26">
        <f t="shared" si="25"/>
        <v>1.0420886198513904E-2</v>
      </c>
    </row>
    <row r="107" spans="4:9" x14ac:dyDescent="0.35">
      <c r="D107" s="24"/>
      <c r="E107" s="35">
        <v>2025</v>
      </c>
      <c r="F107" s="32">
        <f>F105*'Calcs (2)'!L50</f>
        <v>5.4351688361840726E-2</v>
      </c>
      <c r="G107" s="26">
        <f>$G105*'Calcs (2)'!L58</f>
        <v>1.1848839076661162E-2</v>
      </c>
      <c r="H107" s="25">
        <f t="shared" si="26"/>
        <v>5.4285500257797291E-2</v>
      </c>
      <c r="I107" s="26">
        <f t="shared" si="25"/>
        <v>1.188477426561307E-2</v>
      </c>
    </row>
    <row r="108" spans="4:9" x14ac:dyDescent="0.35">
      <c r="D108" s="24"/>
      <c r="E108" s="35">
        <v>2030</v>
      </c>
      <c r="F108" s="32">
        <f>F105*'Calcs (2)'!M50</f>
        <v>4.8158869633098025E-2</v>
      </c>
      <c r="G108" s="26">
        <f>$G105*'Calcs (2)'!M58</f>
        <v>1.1633944984633019E-2</v>
      </c>
      <c r="H108" s="25">
        <f t="shared" si="26"/>
        <v>4.8100222986232725E-2</v>
      </c>
      <c r="I108" s="26">
        <f t="shared" si="25"/>
        <v>1.166922844224216E-2</v>
      </c>
    </row>
    <row r="109" spans="4:9" x14ac:dyDescent="0.35">
      <c r="D109" s="27"/>
      <c r="E109" s="36">
        <v>2035</v>
      </c>
      <c r="F109" s="33">
        <f>F105*'Calcs (2)'!N50</f>
        <v>4.3283059570629265E-2</v>
      </c>
      <c r="G109" s="29">
        <f>$G105*'Calcs (2)'!N58</f>
        <v>1.174245266533747E-2</v>
      </c>
      <c r="H109" s="28">
        <f t="shared" si="26"/>
        <v>4.3230350561276942E-2</v>
      </c>
      <c r="I109" s="29">
        <f t="shared" si="25"/>
        <v>1.1778065205313552E-2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0657C-A1AF-4C01-ACF0-925D23D26450}">
  <dimension ref="A1:P33"/>
  <sheetViews>
    <sheetView workbookViewId="0">
      <selection activeCell="G27" sqref="G27:H33"/>
    </sheetView>
  </sheetViews>
  <sheetFormatPr defaultRowHeight="14.5" x14ac:dyDescent="0.35"/>
  <cols>
    <col min="3" max="3" width="15.6328125" customWidth="1"/>
    <col min="4" max="4" width="18" customWidth="1"/>
  </cols>
  <sheetData>
    <row r="1" spans="1:16" x14ac:dyDescent="0.35">
      <c r="A1" t="s">
        <v>11</v>
      </c>
      <c r="B1" t="s">
        <v>0</v>
      </c>
      <c r="C1" t="s">
        <v>53</v>
      </c>
      <c r="D1" t="s">
        <v>12</v>
      </c>
      <c r="E1" t="s">
        <v>12</v>
      </c>
      <c r="F1" t="s">
        <v>13</v>
      </c>
      <c r="G1" t="s">
        <v>54</v>
      </c>
      <c r="H1">
        <v>2015</v>
      </c>
      <c r="I1">
        <v>2020</v>
      </c>
      <c r="J1">
        <v>2025</v>
      </c>
      <c r="K1">
        <v>2030</v>
      </c>
      <c r="L1">
        <v>2035</v>
      </c>
      <c r="M1">
        <v>2040</v>
      </c>
      <c r="N1">
        <v>2045</v>
      </c>
      <c r="O1">
        <v>2050</v>
      </c>
      <c r="P1" t="s">
        <v>14</v>
      </c>
    </row>
    <row r="2" spans="1:16" x14ac:dyDescent="0.35">
      <c r="A2" s="20" t="s">
        <v>76</v>
      </c>
      <c r="B2" s="20" t="s">
        <v>15</v>
      </c>
      <c r="C2" s="20" t="s">
        <v>7</v>
      </c>
      <c r="D2" s="20" t="s">
        <v>29</v>
      </c>
      <c r="E2" s="20" t="s">
        <v>8</v>
      </c>
      <c r="F2" s="20" t="s">
        <v>55</v>
      </c>
      <c r="G2" s="20" t="s">
        <v>56</v>
      </c>
      <c r="H2" s="20">
        <v>1.54E-2</v>
      </c>
      <c r="I2" s="20">
        <v>1.5800000000000002E-2</v>
      </c>
      <c r="J2" s="20">
        <v>1.54E-2</v>
      </c>
      <c r="K2" s="20">
        <v>1.2999999999999999E-2</v>
      </c>
      <c r="L2" s="20">
        <v>9.9799999999999993E-3</v>
      </c>
      <c r="M2" s="20">
        <v>8.8999999999999999E-3</v>
      </c>
      <c r="N2" s="20">
        <v>8.7299999999999999E-3</v>
      </c>
      <c r="O2" s="20">
        <v>8.5400000000000007E-3</v>
      </c>
      <c r="P2" s="20" t="s">
        <v>57</v>
      </c>
    </row>
    <row r="3" spans="1:16" x14ac:dyDescent="0.35">
      <c r="A3" s="20" t="s">
        <v>76</v>
      </c>
      <c r="B3" s="20" t="s">
        <v>15</v>
      </c>
      <c r="C3" s="20" t="s">
        <v>7</v>
      </c>
      <c r="D3" s="20" t="s">
        <v>29</v>
      </c>
      <c r="E3" s="20" t="s">
        <v>8</v>
      </c>
      <c r="F3" s="20" t="s">
        <v>55</v>
      </c>
      <c r="G3" s="20" t="s">
        <v>30</v>
      </c>
      <c r="H3" s="20">
        <v>2.2100000000000002E-2</v>
      </c>
      <c r="I3" s="20">
        <v>2.06E-2</v>
      </c>
      <c r="J3" s="20">
        <v>1.8100000000000002E-2</v>
      </c>
      <c r="K3" s="20">
        <v>1.35E-2</v>
      </c>
      <c r="L3" s="20">
        <v>9.3100000000000006E-3</v>
      </c>
      <c r="M3" s="20">
        <v>8.3000000000000001E-3</v>
      </c>
      <c r="N3" s="20">
        <v>8.1399999999999997E-3</v>
      </c>
      <c r="O3" s="20">
        <v>7.9600000000000001E-3</v>
      </c>
      <c r="P3" s="20" t="s">
        <v>57</v>
      </c>
    </row>
    <row r="4" spans="1:16" x14ac:dyDescent="0.35">
      <c r="A4" s="20" t="s">
        <v>76</v>
      </c>
      <c r="B4" s="20" t="s">
        <v>15</v>
      </c>
      <c r="C4" s="20" t="s">
        <v>7</v>
      </c>
      <c r="D4" s="20" t="s">
        <v>29</v>
      </c>
      <c r="E4" s="20" t="s">
        <v>8</v>
      </c>
      <c r="F4" s="20" t="s">
        <v>55</v>
      </c>
      <c r="G4" s="20" t="s">
        <v>58</v>
      </c>
      <c r="H4" s="20">
        <v>6.73</v>
      </c>
      <c r="I4" s="20">
        <v>6.66</v>
      </c>
      <c r="J4" s="20">
        <v>6.53</v>
      </c>
      <c r="K4" s="20">
        <v>5.48</v>
      </c>
      <c r="L4" s="20">
        <v>4.22</v>
      </c>
      <c r="M4" s="20">
        <v>3.77</v>
      </c>
      <c r="N4" s="20">
        <v>3.69</v>
      </c>
      <c r="O4" s="20">
        <v>3.61</v>
      </c>
      <c r="P4" s="20" t="s">
        <v>59</v>
      </c>
    </row>
    <row r="5" spans="1:16" x14ac:dyDescent="0.35">
      <c r="A5" s="20" t="s">
        <v>76</v>
      </c>
      <c r="B5" s="20" t="s">
        <v>15</v>
      </c>
      <c r="C5" s="20" t="s">
        <v>7</v>
      </c>
      <c r="D5" s="20" t="s">
        <v>29</v>
      </c>
      <c r="E5" s="20" t="s">
        <v>8</v>
      </c>
      <c r="F5" s="20" t="s">
        <v>55</v>
      </c>
      <c r="G5" s="20" t="s">
        <v>21</v>
      </c>
      <c r="H5" s="20">
        <v>6.2399999999999999E-3</v>
      </c>
      <c r="I5" s="20">
        <v>4.7000000000000002E-3</v>
      </c>
      <c r="J5" s="20">
        <v>2.7399999999999998E-3</v>
      </c>
      <c r="K5" s="20">
        <v>1.9499999999999999E-3</v>
      </c>
      <c r="L5" s="20">
        <v>1.15E-3</v>
      </c>
      <c r="M5" s="20">
        <v>1.0300000000000001E-3</v>
      </c>
      <c r="N5" s="20">
        <v>1.01E-3</v>
      </c>
      <c r="O5" s="20">
        <v>9.8299999999999993E-4</v>
      </c>
      <c r="P5" s="20" t="s">
        <v>57</v>
      </c>
    </row>
    <row r="6" spans="1:16" x14ac:dyDescent="0.35">
      <c r="A6" s="20" t="s">
        <v>76</v>
      </c>
      <c r="B6" s="20" t="s">
        <v>15</v>
      </c>
      <c r="C6" s="20" t="s">
        <v>7</v>
      </c>
      <c r="D6" s="20" t="s">
        <v>29</v>
      </c>
      <c r="E6" s="20" t="s">
        <v>8</v>
      </c>
      <c r="F6" s="20" t="s">
        <v>55</v>
      </c>
      <c r="G6" s="20" t="s">
        <v>9</v>
      </c>
      <c r="H6" s="20">
        <v>0.158</v>
      </c>
      <c r="I6" s="20">
        <v>0.12</v>
      </c>
      <c r="J6" s="20">
        <v>7.22E-2</v>
      </c>
      <c r="K6" s="20">
        <v>5.0599999999999999E-2</v>
      </c>
      <c r="L6" s="20">
        <v>2.9499999999999998E-2</v>
      </c>
      <c r="M6" s="20">
        <v>2.63E-2</v>
      </c>
      <c r="N6" s="20">
        <v>2.58E-2</v>
      </c>
      <c r="O6" s="20">
        <v>2.52E-2</v>
      </c>
      <c r="P6" s="20" t="s">
        <v>57</v>
      </c>
    </row>
    <row r="7" spans="1:16" x14ac:dyDescent="0.35">
      <c r="A7" s="20" t="s">
        <v>76</v>
      </c>
      <c r="B7" s="20" t="s">
        <v>15</v>
      </c>
      <c r="C7" s="20" t="s">
        <v>7</v>
      </c>
      <c r="D7" s="20" t="s">
        <v>29</v>
      </c>
      <c r="E7" s="20" t="s">
        <v>8</v>
      </c>
      <c r="F7" s="20" t="s">
        <v>55</v>
      </c>
      <c r="G7" s="20" t="s">
        <v>61</v>
      </c>
      <c r="H7" s="20">
        <v>1.2699999999999999E-2</v>
      </c>
      <c r="I7" s="20">
        <v>1.3100000000000001E-2</v>
      </c>
      <c r="J7" s="20">
        <v>1.2800000000000001E-2</v>
      </c>
      <c r="K7" s="20">
        <v>1.0800000000000001E-2</v>
      </c>
      <c r="L7" s="20">
        <v>8.2799999999999992E-3</v>
      </c>
      <c r="M7" s="20">
        <v>7.3899999999999999E-3</v>
      </c>
      <c r="N7" s="20">
        <v>7.2399999999999999E-3</v>
      </c>
      <c r="O7" s="20">
        <v>7.0800000000000004E-3</v>
      </c>
      <c r="P7" s="20" t="s">
        <v>57</v>
      </c>
    </row>
    <row r="8" spans="1:16" x14ac:dyDescent="0.35">
      <c r="A8" s="20" t="s">
        <v>76</v>
      </c>
      <c r="B8" s="20" t="s">
        <v>15</v>
      </c>
      <c r="C8" s="20" t="s">
        <v>7</v>
      </c>
      <c r="D8" s="20" t="s">
        <v>29</v>
      </c>
      <c r="E8" s="20" t="s">
        <v>8</v>
      </c>
      <c r="F8" s="20" t="s">
        <v>55</v>
      </c>
      <c r="G8" s="20" t="s">
        <v>22</v>
      </c>
      <c r="H8" s="20">
        <v>4.3299999999999996E-3</v>
      </c>
      <c r="I8" s="20">
        <v>3.3E-3</v>
      </c>
      <c r="J8" s="20">
        <v>1.98E-3</v>
      </c>
      <c r="K8" s="20">
        <v>1.39E-3</v>
      </c>
      <c r="L8" s="20">
        <v>8.0500000000000005E-4</v>
      </c>
      <c r="M8" s="20">
        <v>7.18E-4</v>
      </c>
      <c r="N8" s="20">
        <v>7.0399999999999998E-4</v>
      </c>
      <c r="O8" s="20">
        <v>6.8900000000000005E-4</v>
      </c>
      <c r="P8" s="20" t="s">
        <v>57</v>
      </c>
    </row>
    <row r="9" spans="1:16" x14ac:dyDescent="0.35">
      <c r="A9" s="20" t="s">
        <v>76</v>
      </c>
      <c r="B9" s="20" t="s">
        <v>15</v>
      </c>
      <c r="C9" s="20" t="s">
        <v>7</v>
      </c>
      <c r="D9" s="20" t="s">
        <v>29</v>
      </c>
      <c r="E9" s="20" t="s">
        <v>8</v>
      </c>
      <c r="F9" s="20" t="s">
        <v>55</v>
      </c>
      <c r="G9" s="20" t="s">
        <v>17</v>
      </c>
      <c r="H9" s="20">
        <v>4.1999999999999997E-3</v>
      </c>
      <c r="I9" s="20">
        <v>3.2000000000000002E-3</v>
      </c>
      <c r="J9" s="20">
        <v>1.92E-3</v>
      </c>
      <c r="K9" s="20">
        <v>1.34E-3</v>
      </c>
      <c r="L9" s="20">
        <v>7.7999999999999999E-4</v>
      </c>
      <c r="M9" s="20">
        <v>6.96E-4</v>
      </c>
      <c r="N9" s="20">
        <v>6.8199999999999999E-4</v>
      </c>
      <c r="O9" s="20">
        <v>6.6699999999999995E-4</v>
      </c>
      <c r="P9" s="20" t="s">
        <v>57</v>
      </c>
    </row>
    <row r="10" spans="1:16" x14ac:dyDescent="0.35">
      <c r="A10" s="20" t="s">
        <v>76</v>
      </c>
      <c r="B10" s="20" t="s">
        <v>15</v>
      </c>
      <c r="C10" s="20" t="s">
        <v>7</v>
      </c>
      <c r="D10" s="20" t="s">
        <v>29</v>
      </c>
      <c r="E10" s="20" t="s">
        <v>8</v>
      </c>
      <c r="F10" s="20" t="s">
        <v>55</v>
      </c>
      <c r="G10" s="20" t="s">
        <v>18</v>
      </c>
      <c r="H10" s="20">
        <v>1.6400000000000001E-2</v>
      </c>
      <c r="I10" s="20">
        <v>1.61E-2</v>
      </c>
      <c r="J10" s="20">
        <v>1.55E-2</v>
      </c>
      <c r="K10" s="20">
        <v>1.2999999999999999E-2</v>
      </c>
      <c r="L10" s="20">
        <v>0.01</v>
      </c>
      <c r="M10" s="20">
        <v>8.94E-3</v>
      </c>
      <c r="N10" s="20">
        <v>8.7600000000000004E-3</v>
      </c>
      <c r="O10" s="20">
        <v>8.5699999999999995E-3</v>
      </c>
      <c r="P10" s="20" t="s">
        <v>57</v>
      </c>
    </row>
    <row r="11" spans="1:16" x14ac:dyDescent="0.35">
      <c r="A11" s="20" t="s">
        <v>76</v>
      </c>
      <c r="B11" s="20" t="s">
        <v>15</v>
      </c>
      <c r="C11" s="20" t="s">
        <v>62</v>
      </c>
      <c r="D11" s="20" t="s">
        <v>31</v>
      </c>
      <c r="E11" s="20" t="s">
        <v>8</v>
      </c>
      <c r="F11" s="20" t="s">
        <v>55</v>
      </c>
      <c r="G11" s="20" t="s">
        <v>56</v>
      </c>
      <c r="H11" s="20">
        <v>1.5800000000000002E-2</v>
      </c>
      <c r="I11" s="20">
        <v>1.5599999999999999E-2</v>
      </c>
      <c r="J11" s="20">
        <v>1.5100000000000001E-2</v>
      </c>
      <c r="K11" s="20">
        <v>1.2200000000000001E-2</v>
      </c>
      <c r="L11" s="20">
        <v>8.0800000000000004E-3</v>
      </c>
      <c r="M11" s="20">
        <v>6.8900000000000003E-3</v>
      </c>
      <c r="N11" s="20">
        <v>6.6299999999999996E-3</v>
      </c>
      <c r="O11" s="20">
        <v>6.5399999999999998E-3</v>
      </c>
      <c r="P11" s="20" t="s">
        <v>57</v>
      </c>
    </row>
    <row r="12" spans="1:16" x14ac:dyDescent="0.35">
      <c r="A12" s="20" t="s">
        <v>76</v>
      </c>
      <c r="B12" s="20" t="s">
        <v>15</v>
      </c>
      <c r="C12" s="20" t="s">
        <v>62</v>
      </c>
      <c r="D12" s="20" t="s">
        <v>31</v>
      </c>
      <c r="E12" s="20" t="s">
        <v>8</v>
      </c>
      <c r="F12" s="20" t="s">
        <v>55</v>
      </c>
      <c r="G12" s="20" t="s">
        <v>30</v>
      </c>
      <c r="H12" s="20">
        <v>1.2999999999999999E-2</v>
      </c>
      <c r="I12" s="20">
        <v>1.47E-2</v>
      </c>
      <c r="J12" s="20">
        <v>1.6199999999999999E-2</v>
      </c>
      <c r="K12" s="20">
        <v>1.29E-2</v>
      </c>
      <c r="L12" s="20">
        <v>8.6099999999999996E-3</v>
      </c>
      <c r="M12" s="20">
        <v>7.3499999999999998E-3</v>
      </c>
      <c r="N12" s="20">
        <v>7.0699999999999999E-3</v>
      </c>
      <c r="O12" s="20">
        <v>6.9699999999999996E-3</v>
      </c>
      <c r="P12" s="20" t="s">
        <v>57</v>
      </c>
    </row>
    <row r="13" spans="1:16" x14ac:dyDescent="0.35">
      <c r="A13" s="20" t="s">
        <v>76</v>
      </c>
      <c r="B13" s="20" t="s">
        <v>15</v>
      </c>
      <c r="C13" s="20" t="s">
        <v>62</v>
      </c>
      <c r="D13" s="20" t="s">
        <v>31</v>
      </c>
      <c r="E13" s="20" t="s">
        <v>8</v>
      </c>
      <c r="F13" s="20" t="s">
        <v>55</v>
      </c>
      <c r="G13" s="20" t="s">
        <v>58</v>
      </c>
      <c r="H13" s="20">
        <v>27.9</v>
      </c>
      <c r="I13" s="20">
        <v>27.6</v>
      </c>
      <c r="J13" s="20">
        <v>26.8</v>
      </c>
      <c r="K13" s="20">
        <v>21.6</v>
      </c>
      <c r="L13" s="20">
        <v>14.3</v>
      </c>
      <c r="M13" s="20">
        <v>12.2</v>
      </c>
      <c r="N13" s="20">
        <v>11.8</v>
      </c>
      <c r="O13" s="20">
        <v>11.6</v>
      </c>
      <c r="P13" s="20" t="s">
        <v>59</v>
      </c>
    </row>
    <row r="14" spans="1:16" x14ac:dyDescent="0.35">
      <c r="A14" s="20" t="s">
        <v>76</v>
      </c>
      <c r="B14" s="20" t="s">
        <v>15</v>
      </c>
      <c r="C14" s="20" t="s">
        <v>62</v>
      </c>
      <c r="D14" s="20" t="s">
        <v>31</v>
      </c>
      <c r="E14" s="20" t="s">
        <v>8</v>
      </c>
      <c r="F14" s="20" t="s">
        <v>55</v>
      </c>
      <c r="G14" s="20" t="s">
        <v>60</v>
      </c>
      <c r="H14" s="20">
        <v>1.2099999999999999E-3</v>
      </c>
      <c r="I14" s="20">
        <v>1.1999999999999999E-3</v>
      </c>
      <c r="J14" s="20">
        <v>1.16E-3</v>
      </c>
      <c r="K14" s="20">
        <v>9.3899999999999995E-4</v>
      </c>
      <c r="L14" s="20">
        <v>6.2200000000000005E-4</v>
      </c>
      <c r="M14" s="20">
        <v>5.31E-4</v>
      </c>
      <c r="N14" s="20">
        <v>5.1099999999999995E-4</v>
      </c>
      <c r="O14" s="20">
        <v>5.04E-4</v>
      </c>
      <c r="P14" s="20" t="s">
        <v>57</v>
      </c>
    </row>
    <row r="15" spans="1:16" x14ac:dyDescent="0.35">
      <c r="A15" s="20" t="s">
        <v>76</v>
      </c>
      <c r="B15" s="20" t="s">
        <v>15</v>
      </c>
      <c r="C15" s="20" t="s">
        <v>62</v>
      </c>
      <c r="D15" s="20" t="s">
        <v>31</v>
      </c>
      <c r="E15" s="20" t="s">
        <v>8</v>
      </c>
      <c r="F15" s="20" t="s">
        <v>55</v>
      </c>
      <c r="G15" s="20" t="s">
        <v>21</v>
      </c>
      <c r="H15" s="20">
        <v>7.8899999999999994E-3</v>
      </c>
      <c r="I15" s="20">
        <v>8.9700000000000005E-3</v>
      </c>
      <c r="J15" s="20">
        <v>9.9799999999999993E-3</v>
      </c>
      <c r="K15" s="20">
        <v>7.92E-3</v>
      </c>
      <c r="L15" s="20">
        <v>5.3200000000000001E-3</v>
      </c>
      <c r="M15" s="20">
        <v>4.5399999999999998E-3</v>
      </c>
      <c r="N15" s="20">
        <v>4.3699999999999998E-3</v>
      </c>
      <c r="O15" s="20">
        <v>4.3099999999999996E-3</v>
      </c>
      <c r="P15" s="20" t="s">
        <v>57</v>
      </c>
    </row>
    <row r="16" spans="1:16" x14ac:dyDescent="0.35">
      <c r="A16" s="20" t="s">
        <v>76</v>
      </c>
      <c r="B16" s="20" t="s">
        <v>15</v>
      </c>
      <c r="C16" s="20" t="s">
        <v>62</v>
      </c>
      <c r="D16" s="20" t="s">
        <v>31</v>
      </c>
      <c r="E16" s="20" t="s">
        <v>8</v>
      </c>
      <c r="F16" s="20" t="s">
        <v>55</v>
      </c>
      <c r="G16" s="20" t="s">
        <v>9</v>
      </c>
      <c r="H16" s="20">
        <v>0.108</v>
      </c>
      <c r="I16" s="20">
        <v>0.10299999999999999</v>
      </c>
      <c r="J16" s="20">
        <v>9.2100000000000001E-2</v>
      </c>
      <c r="K16" s="20">
        <v>6.9900000000000004E-2</v>
      </c>
      <c r="L16" s="20">
        <v>4.3099999999999999E-2</v>
      </c>
      <c r="M16" s="20">
        <v>3.6799999999999999E-2</v>
      </c>
      <c r="N16" s="20">
        <v>3.5400000000000001E-2</v>
      </c>
      <c r="O16" s="20">
        <v>3.49E-2</v>
      </c>
      <c r="P16" s="20" t="s">
        <v>57</v>
      </c>
    </row>
    <row r="17" spans="1:16" x14ac:dyDescent="0.35">
      <c r="A17" s="20" t="s">
        <v>76</v>
      </c>
      <c r="B17" s="20" t="s">
        <v>15</v>
      </c>
      <c r="C17" s="20" t="s">
        <v>62</v>
      </c>
      <c r="D17" s="20" t="s">
        <v>31</v>
      </c>
      <c r="E17" s="20" t="s">
        <v>8</v>
      </c>
      <c r="F17" s="20" t="s">
        <v>55</v>
      </c>
      <c r="G17" s="20" t="s">
        <v>61</v>
      </c>
      <c r="H17" s="20">
        <v>1.2E-2</v>
      </c>
      <c r="I17" s="20">
        <v>1.18E-2</v>
      </c>
      <c r="J17" s="20">
        <v>1.15E-2</v>
      </c>
      <c r="K17" s="20">
        <v>9.2599999999999991E-3</v>
      </c>
      <c r="L17" s="20">
        <v>6.1399999999999996E-3</v>
      </c>
      <c r="M17" s="20">
        <v>5.2399999999999999E-3</v>
      </c>
      <c r="N17" s="20">
        <v>5.0400000000000002E-3</v>
      </c>
      <c r="O17" s="20">
        <v>4.9699999999999996E-3</v>
      </c>
      <c r="P17" s="20" t="s">
        <v>57</v>
      </c>
    </row>
    <row r="18" spans="1:16" x14ac:dyDescent="0.35">
      <c r="A18" s="20" t="s">
        <v>76</v>
      </c>
      <c r="B18" s="20" t="s">
        <v>15</v>
      </c>
      <c r="C18" s="20" t="s">
        <v>62</v>
      </c>
      <c r="D18" s="20" t="s">
        <v>31</v>
      </c>
      <c r="E18" s="20" t="s">
        <v>8</v>
      </c>
      <c r="F18" s="20" t="s">
        <v>55</v>
      </c>
      <c r="G18" s="20" t="s">
        <v>22</v>
      </c>
      <c r="H18" s="20">
        <v>2.0999999999999999E-3</v>
      </c>
      <c r="I18" s="20">
        <v>2.3800000000000002E-3</v>
      </c>
      <c r="J18" s="20">
        <v>2.63E-3</v>
      </c>
      <c r="K18" s="20">
        <v>2.0799999999999998E-3</v>
      </c>
      <c r="L18" s="20">
        <v>1.39E-3</v>
      </c>
      <c r="M18" s="20">
        <v>1.1900000000000001E-3</v>
      </c>
      <c r="N18" s="20">
        <v>1.14E-3</v>
      </c>
      <c r="O18" s="20">
        <v>1.1299999999999999E-3</v>
      </c>
      <c r="P18" s="20" t="s">
        <v>57</v>
      </c>
    </row>
    <row r="19" spans="1:16" x14ac:dyDescent="0.35">
      <c r="A19" s="20" t="s">
        <v>76</v>
      </c>
      <c r="B19" s="20" t="s">
        <v>15</v>
      </c>
      <c r="C19" s="20" t="s">
        <v>62</v>
      </c>
      <c r="D19" s="20" t="s">
        <v>31</v>
      </c>
      <c r="E19" s="20" t="s">
        <v>8</v>
      </c>
      <c r="F19" s="20" t="s">
        <v>55</v>
      </c>
      <c r="G19" s="20" t="s">
        <v>17</v>
      </c>
      <c r="H19" s="20">
        <v>1.9300000000000001E-3</v>
      </c>
      <c r="I19" s="20">
        <v>2.1900000000000001E-3</v>
      </c>
      <c r="J19" s="20">
        <v>2.4199999999999998E-3</v>
      </c>
      <c r="K19" s="20">
        <v>1.92E-3</v>
      </c>
      <c r="L19" s="20">
        <v>1.2800000000000001E-3</v>
      </c>
      <c r="M19" s="20">
        <v>1.09E-3</v>
      </c>
      <c r="N19" s="20">
        <v>1.0499999999999999E-3</v>
      </c>
      <c r="O19" s="20">
        <v>1.0399999999999999E-3</v>
      </c>
      <c r="P19" s="20" t="s">
        <v>57</v>
      </c>
    </row>
    <row r="20" spans="1:16" x14ac:dyDescent="0.35">
      <c r="A20" s="20" t="s">
        <v>76</v>
      </c>
      <c r="B20" s="20" t="s">
        <v>15</v>
      </c>
      <c r="C20" s="20" t="s">
        <v>62</v>
      </c>
      <c r="D20" s="20" t="s">
        <v>31</v>
      </c>
      <c r="E20" s="20" t="s">
        <v>8</v>
      </c>
      <c r="F20" s="20" t="s">
        <v>55</v>
      </c>
      <c r="G20" s="20" t="s">
        <v>18</v>
      </c>
      <c r="H20" s="20">
        <v>0.53800000000000003</v>
      </c>
      <c r="I20" s="20">
        <v>0.53200000000000003</v>
      </c>
      <c r="J20" s="20">
        <v>0.51700000000000002</v>
      </c>
      <c r="K20" s="20">
        <v>0.41699999999999998</v>
      </c>
      <c r="L20" s="20">
        <v>0.27600000000000002</v>
      </c>
      <c r="M20" s="20">
        <v>0.23599999999999999</v>
      </c>
      <c r="N20" s="20">
        <v>0.22700000000000001</v>
      </c>
      <c r="O20" s="20">
        <v>0.224</v>
      </c>
      <c r="P20" s="20" t="s">
        <v>57</v>
      </c>
    </row>
    <row r="22" spans="1:16" x14ac:dyDescent="0.35">
      <c r="A22" t="s">
        <v>11</v>
      </c>
      <c r="B22" t="s">
        <v>0</v>
      </c>
      <c r="D22" t="s">
        <v>12</v>
      </c>
      <c r="E22" t="s">
        <v>13</v>
      </c>
      <c r="H22">
        <v>2015</v>
      </c>
      <c r="I22">
        <v>2020</v>
      </c>
      <c r="J22">
        <v>2025</v>
      </c>
      <c r="K22">
        <v>2030</v>
      </c>
      <c r="L22">
        <v>2035</v>
      </c>
      <c r="M22">
        <v>2040</v>
      </c>
      <c r="N22">
        <v>2045</v>
      </c>
      <c r="O22">
        <v>2050</v>
      </c>
      <c r="P22" t="s">
        <v>14</v>
      </c>
    </row>
    <row r="23" spans="1:16" x14ac:dyDescent="0.35">
      <c r="A23" s="20" t="s">
        <v>76</v>
      </c>
      <c r="B23" s="20" t="s">
        <v>15</v>
      </c>
      <c r="C23" s="20" t="s">
        <v>29</v>
      </c>
      <c r="G23" s="20" t="s">
        <v>8</v>
      </c>
      <c r="H23" s="20">
        <v>0.34300000000000003</v>
      </c>
      <c r="I23" s="20">
        <v>0.34</v>
      </c>
      <c r="J23" s="20">
        <v>0.33300000000000002</v>
      </c>
      <c r="K23" s="20">
        <v>0.28000000000000003</v>
      </c>
      <c r="L23" s="20">
        <v>0.215</v>
      </c>
      <c r="M23" s="20">
        <v>0.192</v>
      </c>
      <c r="N23" s="20">
        <v>0.188</v>
      </c>
      <c r="O23" s="20">
        <v>0.184</v>
      </c>
      <c r="P23" s="20" t="s">
        <v>16</v>
      </c>
    </row>
    <row r="24" spans="1:16" x14ac:dyDescent="0.35">
      <c r="A24" s="20" t="s">
        <v>76</v>
      </c>
      <c r="B24" s="20" t="s">
        <v>15</v>
      </c>
      <c r="C24" s="20" t="s">
        <v>31</v>
      </c>
      <c r="G24" s="20" t="s">
        <v>8</v>
      </c>
      <c r="H24" s="20">
        <v>1.43</v>
      </c>
      <c r="I24" s="20">
        <v>1.41</v>
      </c>
      <c r="J24" s="20">
        <v>1.37</v>
      </c>
      <c r="K24" s="20">
        <v>1.1000000000000001</v>
      </c>
      <c r="L24" s="20">
        <v>0.73099999999999998</v>
      </c>
      <c r="M24" s="20">
        <v>0.624</v>
      </c>
      <c r="N24" s="20">
        <v>0.6</v>
      </c>
      <c r="O24" s="20">
        <v>0.59199999999999997</v>
      </c>
      <c r="P24" s="20" t="s">
        <v>16</v>
      </c>
    </row>
    <row r="26" spans="1:16" x14ac:dyDescent="0.35">
      <c r="E26" t="s">
        <v>72</v>
      </c>
      <c r="G26" t="s">
        <v>73</v>
      </c>
      <c r="H26" t="s">
        <v>74</v>
      </c>
    </row>
    <row r="27" spans="1:16" x14ac:dyDescent="0.35">
      <c r="F27" t="s">
        <v>9</v>
      </c>
      <c r="G27">
        <f>H6/H23</f>
        <v>0.46064139941690957</v>
      </c>
      <c r="H27">
        <f>H16/H24</f>
        <v>7.5524475524475526E-2</v>
      </c>
    </row>
    <row r="28" spans="1:16" x14ac:dyDescent="0.35">
      <c r="F28" t="s">
        <v>18</v>
      </c>
      <c r="G28">
        <f>H10/H23</f>
        <v>4.78134110787172E-2</v>
      </c>
      <c r="H28">
        <f>H20/H24</f>
        <v>0.37622377622377629</v>
      </c>
    </row>
    <row r="29" spans="1:16" x14ac:dyDescent="0.35">
      <c r="F29" t="s">
        <v>17</v>
      </c>
      <c r="G29">
        <f>H9/H23</f>
        <v>1.2244897959183671E-2</v>
      </c>
      <c r="H29">
        <f>H19/H24</f>
        <v>1.3496503496503497E-3</v>
      </c>
    </row>
    <row r="30" spans="1:16" x14ac:dyDescent="0.35">
      <c r="F30" t="s">
        <v>22</v>
      </c>
      <c r="G30">
        <f>H8/H23</f>
        <v>1.2623906705539357E-2</v>
      </c>
      <c r="H30">
        <f>H18/H24</f>
        <v>1.4685314685314685E-3</v>
      </c>
    </row>
    <row r="31" spans="1:16" x14ac:dyDescent="0.35">
      <c r="F31" t="s">
        <v>21</v>
      </c>
      <c r="G31">
        <f>H5/H23</f>
        <v>1.8192419825072883E-2</v>
      </c>
      <c r="H31">
        <f>H15/H24</f>
        <v>5.5174825174825175E-3</v>
      </c>
    </row>
    <row r="32" spans="1:16" x14ac:dyDescent="0.35">
      <c r="F32" t="s">
        <v>30</v>
      </c>
      <c r="G32">
        <f>H3/H23</f>
        <v>6.4431486880466474E-2</v>
      </c>
      <c r="H32">
        <f>H12/H24</f>
        <v>9.0909090909090905E-3</v>
      </c>
    </row>
    <row r="33" spans="6:8" x14ac:dyDescent="0.35">
      <c r="F33" t="s">
        <v>60</v>
      </c>
      <c r="H33">
        <f>H14/H24</f>
        <v>8.4615384615384609E-4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emission_calcs_marine_221101_sc</vt:lpstr>
      <vt:lpstr>Sheet1</vt:lpstr>
      <vt:lpstr>Calcs (2)</vt:lpstr>
      <vt:lpstr>GCAMResult_preScale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Loughlin</dc:creator>
  <cp:lastModifiedBy>Dan Loughlin</cp:lastModifiedBy>
  <dcterms:created xsi:type="dcterms:W3CDTF">2022-05-04T20:28:20Z</dcterms:created>
  <dcterms:modified xsi:type="dcterms:W3CDTF">2022-11-18T18:39:35Z</dcterms:modified>
</cp:coreProperties>
</file>