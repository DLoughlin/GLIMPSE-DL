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-5p4\Contrib\AirPollutants\xml\"/>
    </mc:Choice>
  </mc:AlternateContent>
  <xr:revisionPtr revIDLastSave="0" documentId="8_{93C0B9A4-811C-4FBA-BAB4-2048E77A937A}" xr6:coauthVersionLast="47" xr6:coauthVersionMax="47" xr10:uidLastSave="{00000000-0000-0000-0000-000000000000}"/>
  <bookViews>
    <workbookView xWindow="10720" yWindow="1130" windowWidth="26700" windowHeight="13410" xr2:uid="{051141FD-CA10-44BF-87B4-A488FE3E0D1D}"/>
  </bookViews>
  <sheets>
    <sheet name="air_EF_update_221117" sheetId="1" r:id="rId1"/>
    <sheet name="Calcs (2)" sheetId="3" r:id="rId2"/>
    <sheet name="GCAMResult_preScale" sheetId="4" r:id="rId3"/>
  </sheets>
  <definedNames>
    <definedName name="_xlnm._FilterDatabase" localSheetId="0" hidden="1">air_EF_update_221117!$A$5:$K$89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6" i="3" l="1"/>
  <c r="J61" i="3"/>
  <c r="I61" i="3"/>
  <c r="D40" i="3"/>
  <c r="G31" i="4"/>
  <c r="G30" i="4"/>
  <c r="Q52" i="3"/>
  <c r="H30" i="4"/>
  <c r="P52" i="3"/>
  <c r="I76" i="3"/>
  <c r="J71" i="3"/>
  <c r="I71" i="3"/>
  <c r="I66" i="3"/>
  <c r="J56" i="3"/>
  <c r="I56" i="3"/>
  <c r="I51" i="3"/>
  <c r="H33" i="4"/>
  <c r="I33" i="4"/>
  <c r="I32" i="4"/>
  <c r="H32" i="4"/>
  <c r="I30" i="4"/>
  <c r="H31" i="4"/>
  <c r="I31" i="4"/>
  <c r="I29" i="4"/>
  <c r="H29" i="4"/>
  <c r="H28" i="4"/>
  <c r="I28" i="4"/>
  <c r="Q50" i="3"/>
  <c r="P56" i="3"/>
  <c r="P55" i="3"/>
  <c r="P54" i="3"/>
  <c r="P53" i="3"/>
  <c r="P51" i="3"/>
  <c r="P50" i="3"/>
  <c r="G34" i="4"/>
  <c r="G33" i="4"/>
  <c r="G32" i="4"/>
  <c r="G29" i="4"/>
  <c r="G28" i="4"/>
  <c r="O25" i="4"/>
  <c r="N25" i="4"/>
  <c r="M25" i="4"/>
  <c r="L25" i="4"/>
  <c r="K25" i="4"/>
  <c r="J25" i="4"/>
  <c r="I25" i="4"/>
  <c r="H25" i="4"/>
  <c r="Q51" i="3"/>
  <c r="Q55" i="3" l="1"/>
  <c r="Q54" i="3"/>
  <c r="Q53" i="3"/>
  <c r="G41" i="3" s="1"/>
  <c r="G42" i="3" s="1"/>
  <c r="J76" i="3"/>
  <c r="J51" i="3"/>
  <c r="I40" i="3"/>
  <c r="H40" i="3"/>
  <c r="G40" i="3"/>
  <c r="F40" i="3"/>
  <c r="E40" i="3"/>
  <c r="G34" i="3"/>
  <c r="D19" i="3"/>
  <c r="I13" i="3"/>
  <c r="I19" i="3" s="1"/>
  <c r="H13" i="3"/>
  <c r="H19" i="3" s="1"/>
  <c r="G13" i="3"/>
  <c r="G19" i="3" s="1"/>
  <c r="F13" i="3"/>
  <c r="F19" i="3" s="1"/>
  <c r="E13" i="3"/>
  <c r="E19" i="3" s="1"/>
  <c r="D13" i="3"/>
  <c r="G33" i="3"/>
  <c r="G32" i="3"/>
  <c r="I57" i="3" l="1"/>
  <c r="I58" i="3" s="1"/>
  <c r="I59" i="3" s="1"/>
  <c r="I60" i="3" s="1"/>
  <c r="I52" i="3"/>
  <c r="I53" i="3" s="1"/>
  <c r="J72" i="3"/>
  <c r="J73" i="3" s="1"/>
  <c r="J74" i="3" s="1"/>
  <c r="J75" i="3" s="1"/>
  <c r="I62" i="3"/>
  <c r="I63" i="3" s="1"/>
  <c r="I64" i="3" s="1"/>
  <c r="I65" i="3" s="1"/>
  <c r="J77" i="3"/>
  <c r="J78" i="3" s="1"/>
  <c r="J79" i="3" s="1"/>
  <c r="J80" i="3" s="1"/>
  <c r="J57" i="3"/>
  <c r="J58" i="3" s="1"/>
  <c r="J59" i="3" s="1"/>
  <c r="J60" i="3" s="1"/>
  <c r="J52" i="3"/>
  <c r="J53" i="3" s="1"/>
  <c r="J54" i="3" s="1"/>
  <c r="J55" i="3" s="1"/>
  <c r="J62" i="3"/>
  <c r="J63" i="3" s="1"/>
  <c r="J64" i="3" s="1"/>
  <c r="J65" i="3" s="1"/>
  <c r="E41" i="3"/>
  <c r="E42" i="3" s="1"/>
  <c r="F41" i="3"/>
  <c r="F42" i="3" s="1"/>
  <c r="H41" i="3"/>
  <c r="H42" i="3" s="1"/>
  <c r="I41" i="3"/>
  <c r="I42" i="3" s="1"/>
  <c r="R50" i="3" l="1"/>
  <c r="D41" i="3"/>
  <c r="D42" i="3" s="1"/>
  <c r="J67" i="3"/>
  <c r="J68" i="3" s="1"/>
  <c r="J69" i="3" s="1"/>
  <c r="J70" i="3" s="1"/>
  <c r="I54" i="3"/>
  <c r="R52" i="3"/>
  <c r="R51" i="3"/>
  <c r="K53" i="3" l="1"/>
  <c r="K51" i="3"/>
  <c r="K57" i="3"/>
  <c r="K59" i="3"/>
  <c r="L60" i="3"/>
  <c r="L56" i="3"/>
  <c r="G158" i="1" s="1"/>
  <c r="K58" i="3"/>
  <c r="K60" i="3"/>
  <c r="K56" i="3"/>
  <c r="G14" i="1" s="1"/>
  <c r="L59" i="3"/>
  <c r="L58" i="3"/>
  <c r="L57" i="3"/>
  <c r="L55" i="3"/>
  <c r="L54" i="3"/>
  <c r="L52" i="3"/>
  <c r="L51" i="3"/>
  <c r="L53" i="3"/>
  <c r="K52" i="3"/>
  <c r="R55" i="3"/>
  <c r="R54" i="3"/>
  <c r="R53" i="3"/>
  <c r="L64" i="3"/>
  <c r="K61" i="3"/>
  <c r="G30" i="1" s="1"/>
  <c r="K64" i="3"/>
  <c r="L63" i="3"/>
  <c r="K63" i="3"/>
  <c r="L62" i="3"/>
  <c r="K62" i="3"/>
  <c r="L65" i="3"/>
  <c r="L61" i="3"/>
  <c r="G126" i="1" s="1"/>
  <c r="K65" i="3"/>
  <c r="I55" i="3"/>
  <c r="K55" i="3" s="1"/>
  <c r="K54" i="3"/>
  <c r="K76" i="3" l="1"/>
  <c r="G46" i="1" s="1"/>
  <c r="I77" i="3"/>
  <c r="L80" i="3"/>
  <c r="L76" i="3"/>
  <c r="L79" i="3"/>
  <c r="L78" i="3"/>
  <c r="L77" i="3"/>
  <c r="L72" i="3"/>
  <c r="L75" i="3"/>
  <c r="L71" i="3"/>
  <c r="G182" i="1" s="1"/>
  <c r="L74" i="3"/>
  <c r="L73" i="3"/>
  <c r="K71" i="3"/>
  <c r="G38" i="1" s="1"/>
  <c r="I72" i="3"/>
  <c r="I67" i="3"/>
  <c r="K66" i="3"/>
  <c r="L68" i="3"/>
  <c r="L67" i="3"/>
  <c r="L69" i="3"/>
  <c r="L70" i="3"/>
  <c r="L66" i="3"/>
  <c r="G118" i="1" s="1"/>
  <c r="G54" i="1"/>
  <c r="G110" i="1"/>
  <c r="G174" i="1"/>
  <c r="G78" i="1"/>
  <c r="G62" i="1"/>
  <c r="G86" i="1" l="1"/>
  <c r="G134" i="1"/>
  <c r="G94" i="1"/>
  <c r="I78" i="3"/>
  <c r="K77" i="3"/>
  <c r="G47" i="1" s="1"/>
  <c r="I73" i="3"/>
  <c r="K72" i="3"/>
  <c r="G39" i="1" s="1"/>
  <c r="G166" i="1"/>
  <c r="I68" i="3"/>
  <c r="K67" i="3"/>
  <c r="G71" i="1" s="1"/>
  <c r="G6" i="1"/>
  <c r="G194" i="1"/>
  <c r="G195" i="1" s="1"/>
  <c r="G196" i="1" s="1"/>
  <c r="G197" i="1" s="1"/>
  <c r="G146" i="1"/>
  <c r="G147" i="1" s="1"/>
  <c r="G148" i="1" s="1"/>
  <c r="G149" i="1" s="1"/>
  <c r="G128" i="1"/>
  <c r="G176" i="1"/>
  <c r="G79" i="1"/>
  <c r="G31" i="1"/>
  <c r="G151" i="1"/>
  <c r="G103" i="1"/>
  <c r="G145" i="1"/>
  <c r="G193" i="1"/>
  <c r="G8" i="1"/>
  <c r="G56" i="1"/>
  <c r="G154" i="1"/>
  <c r="G155" i="1" s="1"/>
  <c r="G156" i="1" s="1"/>
  <c r="G157" i="1" s="1"/>
  <c r="G106" i="1"/>
  <c r="G107" i="1" s="1"/>
  <c r="G108" i="1" s="1"/>
  <c r="G109" i="1" s="1"/>
  <c r="G15" i="1"/>
  <c r="G63" i="1"/>
  <c r="G65" i="1"/>
  <c r="G17" i="1"/>
  <c r="G7" i="1"/>
  <c r="G55" i="1"/>
  <c r="G102" i="1"/>
  <c r="G150" i="1"/>
  <c r="G111" i="1"/>
  <c r="G159" i="1"/>
  <c r="G186" i="1"/>
  <c r="G187" i="1" s="1"/>
  <c r="G188" i="1" s="1"/>
  <c r="G189" i="1" s="1"/>
  <c r="G138" i="1"/>
  <c r="G139" i="1" s="1"/>
  <c r="G140" i="1" s="1"/>
  <c r="G141" i="1" s="1"/>
  <c r="G66" i="1"/>
  <c r="G67" i="1" s="1"/>
  <c r="G68" i="1" s="1"/>
  <c r="G69" i="1" s="1"/>
  <c r="G18" i="1"/>
  <c r="G19" i="1" s="1"/>
  <c r="G20" i="1" s="1"/>
  <c r="G21" i="1" s="1"/>
  <c r="G16" i="1"/>
  <c r="G64" i="1"/>
  <c r="G136" i="1"/>
  <c r="G184" i="1"/>
  <c r="G80" i="1"/>
  <c r="G32" i="1"/>
  <c r="G34" i="1"/>
  <c r="G35" i="1" s="1"/>
  <c r="G36" i="1" s="1"/>
  <c r="G37" i="1" s="1"/>
  <c r="G82" i="1"/>
  <c r="G83" i="1" s="1"/>
  <c r="G84" i="1" s="1"/>
  <c r="G85" i="1" s="1"/>
  <c r="G175" i="1"/>
  <c r="G127" i="1"/>
  <c r="G142" i="1"/>
  <c r="G190" i="1"/>
  <c r="G130" i="1"/>
  <c r="G131" i="1" s="1"/>
  <c r="G132" i="1" s="1"/>
  <c r="G133" i="1" s="1"/>
  <c r="G178" i="1"/>
  <c r="G179" i="1" s="1"/>
  <c r="G180" i="1" s="1"/>
  <c r="G181" i="1" s="1"/>
  <c r="G192" i="1"/>
  <c r="G144" i="1"/>
  <c r="G81" i="1"/>
  <c r="G33" i="1"/>
  <c r="G104" i="1"/>
  <c r="G152" i="1"/>
  <c r="G177" i="1"/>
  <c r="G129" i="1"/>
  <c r="G22" i="1"/>
  <c r="G70" i="1"/>
  <c r="G183" i="1"/>
  <c r="G135" i="1"/>
  <c r="G119" i="1"/>
  <c r="G167" i="1"/>
  <c r="G113" i="1"/>
  <c r="G161" i="1"/>
  <c r="G137" i="1"/>
  <c r="G185" i="1"/>
  <c r="G170" i="1"/>
  <c r="G171" i="1" s="1"/>
  <c r="G172" i="1" s="1"/>
  <c r="G173" i="1" s="1"/>
  <c r="G122" i="1"/>
  <c r="G123" i="1" s="1"/>
  <c r="G124" i="1" s="1"/>
  <c r="G125" i="1" s="1"/>
  <c r="G114" i="1"/>
  <c r="G115" i="1" s="1"/>
  <c r="G116" i="1" s="1"/>
  <c r="G117" i="1" s="1"/>
  <c r="G162" i="1"/>
  <c r="G163" i="1" s="1"/>
  <c r="G164" i="1" s="1"/>
  <c r="G165" i="1" s="1"/>
  <c r="G160" i="1"/>
  <c r="G112" i="1"/>
  <c r="G9" i="1"/>
  <c r="G57" i="1"/>
  <c r="G143" i="1"/>
  <c r="G191" i="1"/>
  <c r="G105" i="1"/>
  <c r="G153" i="1"/>
  <c r="G168" i="1"/>
  <c r="G120" i="1"/>
  <c r="G169" i="1"/>
  <c r="G121" i="1"/>
  <c r="G10" i="1"/>
  <c r="G11" i="1" s="1"/>
  <c r="G12" i="1" s="1"/>
  <c r="G13" i="1" s="1"/>
  <c r="G58" i="1"/>
  <c r="G59" i="1" s="1"/>
  <c r="G60" i="1" s="1"/>
  <c r="G61" i="1" s="1"/>
  <c r="G95" i="1" l="1"/>
  <c r="G23" i="1"/>
  <c r="I79" i="3"/>
  <c r="K78" i="3"/>
  <c r="I74" i="3"/>
  <c r="K73" i="3"/>
  <c r="G87" i="1"/>
  <c r="I69" i="3"/>
  <c r="K68" i="3"/>
  <c r="G96" i="1" l="1"/>
  <c r="G48" i="1"/>
  <c r="I80" i="3"/>
  <c r="K80" i="3" s="1"/>
  <c r="K79" i="3"/>
  <c r="G88" i="1"/>
  <c r="G40" i="1"/>
  <c r="I75" i="3"/>
  <c r="K75" i="3" s="1"/>
  <c r="K74" i="3"/>
  <c r="G24" i="1"/>
  <c r="G72" i="1"/>
  <c r="I70" i="3"/>
  <c r="K70" i="3" s="1"/>
  <c r="K69" i="3"/>
  <c r="G97" i="1" l="1"/>
  <c r="G49" i="1"/>
  <c r="G50" i="1"/>
  <c r="G51" i="1" s="1"/>
  <c r="G52" i="1" s="1"/>
  <c r="G53" i="1" s="1"/>
  <c r="G98" i="1"/>
  <c r="G99" i="1" s="1"/>
  <c r="G100" i="1" s="1"/>
  <c r="G101" i="1" s="1"/>
  <c r="G89" i="1"/>
  <c r="G41" i="1"/>
  <c r="G42" i="1"/>
  <c r="G43" i="1" s="1"/>
  <c r="G44" i="1" s="1"/>
  <c r="G45" i="1" s="1"/>
  <c r="G90" i="1"/>
  <c r="G91" i="1" s="1"/>
  <c r="G92" i="1" s="1"/>
  <c r="G93" i="1" s="1"/>
  <c r="G25" i="1"/>
  <c r="G73" i="1"/>
  <c r="G74" i="1"/>
  <c r="G75" i="1" s="1"/>
  <c r="G76" i="1" s="1"/>
  <c r="G77" i="1" s="1"/>
  <c r="G26" i="1"/>
  <c r="G27" i="1" s="1"/>
  <c r="G28" i="1" s="1"/>
  <c r="G29" i="1" s="1"/>
</calcChain>
</file>

<file path=xl/sharedStrings.xml><?xml version="1.0" encoding="utf-8"?>
<sst xmlns="http://schemas.openxmlformats.org/spreadsheetml/2006/main" count="1446" uniqueCount="79">
  <si>
    <t>region</t>
  </si>
  <si>
    <t>supplysector</t>
  </si>
  <si>
    <t>tranSubsector</t>
  </si>
  <si>
    <t>stub-technology</t>
  </si>
  <si>
    <t>year</t>
  </si>
  <si>
    <t>pollutant</t>
  </si>
  <si>
    <t>value</t>
  </si>
  <si>
    <t>Liquids</t>
  </si>
  <si>
    <t>NOx</t>
  </si>
  <si>
    <t>Hybrid Liquids</t>
  </si>
  <si>
    <t>scenario</t>
  </si>
  <si>
    <t>subsector</t>
  </si>
  <si>
    <t>technology</t>
  </si>
  <si>
    <t>Units</t>
  </si>
  <si>
    <t>Total</t>
  </si>
  <si>
    <t>PM2.5</t>
  </si>
  <si>
    <t>SO2</t>
  </si>
  <si>
    <t>PM25</t>
  </si>
  <si>
    <t>VOC</t>
  </si>
  <si>
    <t>NMVOC</t>
  </si>
  <si>
    <t>PM10</t>
  </si>
  <si>
    <t>all states</t>
  </si>
  <si>
    <t>INPUT_TABLE</t>
  </si>
  <si>
    <t>Variable ID</t>
  </si>
  <si>
    <t>type</t>
  </si>
  <si>
    <t>input-driver</t>
  </si>
  <si>
    <t>GLIMPSEInputEmissCoef</t>
  </si>
  <si>
    <t>CO</t>
  </si>
  <si>
    <t>BEV</t>
  </si>
  <si>
    <t>Emissions from EPA projections</t>
  </si>
  <si>
    <t>EPA Inventory &amp; Projections</t>
  </si>
  <si>
    <t>Year</t>
  </si>
  <si>
    <t>Interpolated values</t>
  </si>
  <si>
    <t>Step 3. Convert to Tg</t>
  </si>
  <si>
    <t>Original emission factors</t>
  </si>
  <si>
    <t>sector</t>
  </si>
  <si>
    <t>GHG</t>
  </si>
  <si>
    <t>GLIMPSE-Reference2,date=2022-28-7T14:25:16-04:00</t>
  </si>
  <si>
    <t>trn_aviation_intl</t>
  </si>
  <si>
    <t>International Aviation</t>
  </si>
  <si>
    <t>N/A</t>
  </si>
  <si>
    <t>BC</t>
  </si>
  <si>
    <t>Tg</t>
  </si>
  <si>
    <t>CO2</t>
  </si>
  <si>
    <t>MTC</t>
  </si>
  <si>
    <t>NH3</t>
  </si>
  <si>
    <t>OC</t>
  </si>
  <si>
    <t>2015 Pre-Scaled emissions</t>
  </si>
  <si>
    <t>2015 Inventory</t>
  </si>
  <si>
    <t>Int'l</t>
  </si>
  <si>
    <t>Scaling</t>
  </si>
  <si>
    <t>Scaled emission factors</t>
  </si>
  <si>
    <t>trn_pass</t>
  </si>
  <si>
    <t>Domestic Aviation</t>
  </si>
  <si>
    <t>airports</t>
  </si>
  <si>
    <t>Domestic air</t>
  </si>
  <si>
    <t>International air</t>
  </si>
  <si>
    <t>Hydrogen</t>
  </si>
  <si>
    <t>Air</t>
  </si>
  <si>
    <t>Airports</t>
  </si>
  <si>
    <t>Step 4. Fuel use from GCAM-USA</t>
  </si>
  <si>
    <t>Dom</t>
  </si>
  <si>
    <t>Step 6. Compare emissions with unscaled to develop scaling factors</t>
  </si>
  <si>
    <t>Step 1. Obtain emissions from 2016fj inventory and its projections</t>
  </si>
  <si>
    <t>Step 2. Interpolate to obtain values for 2015</t>
  </si>
  <si>
    <t>from NEI</t>
  </si>
  <si>
    <t>Domestic Air</t>
  </si>
  <si>
    <t>International Air</t>
  </si>
  <si>
    <t>Step 5. Calculate 2025 Efs</t>
  </si>
  <si>
    <t>NEI</t>
  </si>
  <si>
    <t>GCAM</t>
  </si>
  <si>
    <t>air</t>
  </si>
  <si>
    <t>GLIMPSE-Ref-20221117-RPS,date=2022-17-11T08:29:06-05:00</t>
  </si>
  <si>
    <t>EJ</t>
  </si>
  <si>
    <t>Initial Efs</t>
  </si>
  <si>
    <t>overall</t>
  </si>
  <si>
    <t>dom</t>
  </si>
  <si>
    <t>intl</t>
  </si>
  <si>
    <t>SO2_1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</si>
</sst>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000_);_(* \(#,##0.0000\);_(* &quot;-&quot;??_);_(@_)"/>
    <numFmt numFmtId="167" formatCode="0.00000"/>
    <numFmt numFmtId="168" formatCode="_(* #,##0.00000_);_(* \(#,##0.00000\);_(* &quot;-&quot;??_);_(@_)"/>
    <numFmt numFmtId="169" formatCode="_(* #,##0.000000_);_(* \(#,##0.000000\);_(* &quot;-&quot;??_);_(@_)"/>
    <numFmt numFmtId="170" formatCode="_(* #,##0.0000000_);_(* \(#,##0.000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4" fontId="0" fillId="0" borderId="0" xfId="0" applyNumberFormat="1"/>
    <xf numFmtId="0" fontId="2" fillId="0" borderId="0" xfId="0" applyFont="1"/>
    <xf numFmtId="168" fontId="0" fillId="0" borderId="0" xfId="1" applyNumberFormat="1" applyFont="1"/>
    <xf numFmtId="169" fontId="0" fillId="0" borderId="0" xfId="1" applyNumberFormat="1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3" fillId="0" borderId="0" xfId="0" applyNumberFormat="1" applyFont="1"/>
    <xf numFmtId="43" fontId="0" fillId="0" borderId="0" xfId="0" applyNumberFormat="1"/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06F9-3A27-42F7-94CF-D689A759EF9D}">
  <dimension ref="A1:K197"/>
  <sheetViews>
    <sheetView tabSelected="1" workbookViewId="0">
      <selection activeCell="K16" sqref="K16"/>
    </sheetView>
  </sheetViews>
  <sheetFormatPr defaultRowHeight="14.5" x14ac:dyDescent="0.35"/>
  <cols>
    <col min="2" max="2" width="12.453125" customWidth="1"/>
    <col min="3" max="3" width="21.1796875" customWidth="1"/>
    <col min="7" max="7" width="10.6328125" bestFit="1" customWidth="1"/>
  </cols>
  <sheetData>
    <row r="1" spans="1:11" x14ac:dyDescent="0.35">
      <c r="A1" t="s">
        <v>22</v>
      </c>
    </row>
    <row r="2" spans="1:11" x14ac:dyDescent="0.35">
      <c r="A2" t="s">
        <v>23</v>
      </c>
    </row>
    <row r="3" spans="1:11" x14ac:dyDescent="0.35">
      <c r="A3" t="s">
        <v>26</v>
      </c>
    </row>
    <row r="5" spans="1:11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24</v>
      </c>
    </row>
    <row r="6" spans="1:11" x14ac:dyDescent="0.35">
      <c r="A6" t="s">
        <v>21</v>
      </c>
      <c r="B6" t="s">
        <v>52</v>
      </c>
      <c r="C6" t="s">
        <v>53</v>
      </c>
      <c r="D6" t="s">
        <v>7</v>
      </c>
      <c r="E6">
        <v>2015</v>
      </c>
      <c r="F6" t="s">
        <v>8</v>
      </c>
      <c r="G6" s="11">
        <f>'Calcs (2)'!K51</f>
        <v>2.9417445232222228E-2</v>
      </c>
      <c r="H6" t="s">
        <v>25</v>
      </c>
      <c r="K6" s="6"/>
    </row>
    <row r="7" spans="1:11" x14ac:dyDescent="0.35">
      <c r="A7" t="s">
        <v>21</v>
      </c>
      <c r="B7" t="s">
        <v>52</v>
      </c>
      <c r="C7" t="s">
        <v>53</v>
      </c>
      <c r="D7" t="s">
        <v>7</v>
      </c>
      <c r="E7">
        <v>2020</v>
      </c>
      <c r="F7" t="s">
        <v>8</v>
      </c>
      <c r="G7" s="11">
        <f>'Calcs (2)'!K52</f>
        <v>2.9417445232222228E-2</v>
      </c>
      <c r="H7" t="s">
        <v>25</v>
      </c>
    </row>
    <row r="8" spans="1:11" x14ac:dyDescent="0.35">
      <c r="A8" t="s">
        <v>21</v>
      </c>
      <c r="B8" t="s">
        <v>52</v>
      </c>
      <c r="C8" t="s">
        <v>53</v>
      </c>
      <c r="D8" t="s">
        <v>7</v>
      </c>
      <c r="E8">
        <v>2025</v>
      </c>
      <c r="F8" t="s">
        <v>8</v>
      </c>
      <c r="G8" s="11">
        <f>'Calcs (2)'!K53</f>
        <v>2.9417445232222228E-2</v>
      </c>
      <c r="H8" t="s">
        <v>25</v>
      </c>
    </row>
    <row r="9" spans="1:11" x14ac:dyDescent="0.35">
      <c r="A9" t="s">
        <v>21</v>
      </c>
      <c r="B9" t="s">
        <v>52</v>
      </c>
      <c r="C9" t="s">
        <v>53</v>
      </c>
      <c r="D9" t="s">
        <v>7</v>
      </c>
      <c r="E9">
        <v>2030</v>
      </c>
      <c r="F9" t="s">
        <v>8</v>
      </c>
      <c r="G9" s="11">
        <f>'Calcs (2)'!K54</f>
        <v>2.9417445232222228E-2</v>
      </c>
      <c r="H9" t="s">
        <v>25</v>
      </c>
    </row>
    <row r="10" spans="1:11" x14ac:dyDescent="0.35">
      <c r="A10" t="s">
        <v>21</v>
      </c>
      <c r="B10" t="s">
        <v>52</v>
      </c>
      <c r="C10" t="s">
        <v>53</v>
      </c>
      <c r="D10" t="s">
        <v>7</v>
      </c>
      <c r="E10">
        <v>2035</v>
      </c>
      <c r="F10" t="s">
        <v>8</v>
      </c>
      <c r="G10" s="11">
        <f>'Calcs (2)'!K55</f>
        <v>2.9417445232222228E-2</v>
      </c>
      <c r="H10" t="s">
        <v>25</v>
      </c>
    </row>
    <row r="11" spans="1:11" x14ac:dyDescent="0.35">
      <c r="A11" t="s">
        <v>21</v>
      </c>
      <c r="B11" t="s">
        <v>52</v>
      </c>
      <c r="C11" t="s">
        <v>53</v>
      </c>
      <c r="D11" t="s">
        <v>7</v>
      </c>
      <c r="E11">
        <v>2040</v>
      </c>
      <c r="F11" t="s">
        <v>8</v>
      </c>
      <c r="G11" s="12">
        <f>G10</f>
        <v>2.9417445232222228E-2</v>
      </c>
      <c r="H11" t="s">
        <v>25</v>
      </c>
    </row>
    <row r="12" spans="1:11" x14ac:dyDescent="0.35">
      <c r="A12" t="s">
        <v>21</v>
      </c>
      <c r="B12" t="s">
        <v>52</v>
      </c>
      <c r="C12" t="s">
        <v>53</v>
      </c>
      <c r="D12" t="s">
        <v>7</v>
      </c>
      <c r="E12">
        <v>2045</v>
      </c>
      <c r="F12" t="s">
        <v>8</v>
      </c>
      <c r="G12" s="12">
        <f>G11</f>
        <v>2.9417445232222228E-2</v>
      </c>
      <c r="H12" t="s">
        <v>25</v>
      </c>
    </row>
    <row r="13" spans="1:11" x14ac:dyDescent="0.35">
      <c r="A13" t="s">
        <v>21</v>
      </c>
      <c r="B13" t="s">
        <v>52</v>
      </c>
      <c r="C13" t="s">
        <v>53</v>
      </c>
      <c r="D13" t="s">
        <v>7</v>
      </c>
      <c r="E13">
        <v>2050</v>
      </c>
      <c r="F13" t="s">
        <v>8</v>
      </c>
      <c r="G13" s="12">
        <f>G12</f>
        <v>2.9417445232222228E-2</v>
      </c>
      <c r="H13" t="s">
        <v>25</v>
      </c>
    </row>
    <row r="14" spans="1:11" x14ac:dyDescent="0.35">
      <c r="A14" t="s">
        <v>21</v>
      </c>
      <c r="B14" t="s">
        <v>52</v>
      </c>
      <c r="C14" t="s">
        <v>53</v>
      </c>
      <c r="D14" t="s">
        <v>7</v>
      </c>
      <c r="E14">
        <v>2015</v>
      </c>
      <c r="F14" t="s">
        <v>78</v>
      </c>
      <c r="G14" s="11">
        <f>'Calcs (2)'!K56</f>
        <v>3.9725640439180242E-3</v>
      </c>
      <c r="H14" t="s">
        <v>25</v>
      </c>
    </row>
    <row r="15" spans="1:11" x14ac:dyDescent="0.35">
      <c r="A15" t="s">
        <v>21</v>
      </c>
      <c r="B15" t="s">
        <v>52</v>
      </c>
      <c r="C15" t="s">
        <v>53</v>
      </c>
      <c r="D15" t="s">
        <v>7</v>
      </c>
      <c r="E15">
        <v>2020</v>
      </c>
      <c r="F15" t="s">
        <v>78</v>
      </c>
      <c r="G15" s="11">
        <f>'Calcs (2)'!K57</f>
        <v>3.9725640439180242E-3</v>
      </c>
      <c r="H15" t="s">
        <v>25</v>
      </c>
    </row>
    <row r="16" spans="1:11" x14ac:dyDescent="0.35">
      <c r="A16" t="s">
        <v>21</v>
      </c>
      <c r="B16" t="s">
        <v>52</v>
      </c>
      <c r="C16" t="s">
        <v>53</v>
      </c>
      <c r="D16" t="s">
        <v>7</v>
      </c>
      <c r="E16">
        <v>2025</v>
      </c>
      <c r="F16" t="s">
        <v>78</v>
      </c>
      <c r="G16" s="11">
        <f>'Calcs (2)'!K58</f>
        <v>3.9725640439180242E-3</v>
      </c>
      <c r="H16" t="s">
        <v>25</v>
      </c>
    </row>
    <row r="17" spans="1:8" x14ac:dyDescent="0.35">
      <c r="A17" t="s">
        <v>21</v>
      </c>
      <c r="B17" t="s">
        <v>52</v>
      </c>
      <c r="C17" t="s">
        <v>53</v>
      </c>
      <c r="D17" t="s">
        <v>7</v>
      </c>
      <c r="E17">
        <v>2030</v>
      </c>
      <c r="F17" t="s">
        <v>78</v>
      </c>
      <c r="G17" s="11">
        <f>'Calcs (2)'!K59</f>
        <v>3.9725640439180242E-3</v>
      </c>
      <c r="H17" t="s">
        <v>25</v>
      </c>
    </row>
    <row r="18" spans="1:8" x14ac:dyDescent="0.35">
      <c r="A18" t="s">
        <v>21</v>
      </c>
      <c r="B18" t="s">
        <v>52</v>
      </c>
      <c r="C18" t="s">
        <v>53</v>
      </c>
      <c r="D18" t="s">
        <v>7</v>
      </c>
      <c r="E18">
        <v>2035</v>
      </c>
      <c r="F18" t="s">
        <v>78</v>
      </c>
      <c r="G18" s="11">
        <f>'Calcs (2)'!K60</f>
        <v>3.9725640439180242E-3</v>
      </c>
      <c r="H18" t="s">
        <v>25</v>
      </c>
    </row>
    <row r="19" spans="1:8" x14ac:dyDescent="0.35">
      <c r="A19" t="s">
        <v>21</v>
      </c>
      <c r="B19" t="s">
        <v>52</v>
      </c>
      <c r="C19" t="s">
        <v>53</v>
      </c>
      <c r="D19" t="s">
        <v>7</v>
      </c>
      <c r="E19">
        <v>2040</v>
      </c>
      <c r="F19" t="s">
        <v>78</v>
      </c>
      <c r="G19" s="12">
        <f>G18</f>
        <v>3.9725640439180242E-3</v>
      </c>
      <c r="H19" t="s">
        <v>25</v>
      </c>
    </row>
    <row r="20" spans="1:8" x14ac:dyDescent="0.35">
      <c r="A20" t="s">
        <v>21</v>
      </c>
      <c r="B20" t="s">
        <v>52</v>
      </c>
      <c r="C20" t="s">
        <v>53</v>
      </c>
      <c r="D20" t="s">
        <v>7</v>
      </c>
      <c r="E20">
        <v>2045</v>
      </c>
      <c r="F20" t="s">
        <v>78</v>
      </c>
      <c r="G20" s="12">
        <f>G19</f>
        <v>3.9725640439180242E-3</v>
      </c>
      <c r="H20" t="s">
        <v>25</v>
      </c>
    </row>
    <row r="21" spans="1:8" x14ac:dyDescent="0.35">
      <c r="A21" t="s">
        <v>21</v>
      </c>
      <c r="B21" t="s">
        <v>52</v>
      </c>
      <c r="C21" t="s">
        <v>53</v>
      </c>
      <c r="D21" t="s">
        <v>7</v>
      </c>
      <c r="E21">
        <v>2050</v>
      </c>
      <c r="F21" t="s">
        <v>78</v>
      </c>
      <c r="G21" s="12">
        <f>G20</f>
        <v>3.9725640439180242E-3</v>
      </c>
      <c r="H21" t="s">
        <v>25</v>
      </c>
    </row>
    <row r="22" spans="1:8" x14ac:dyDescent="0.35">
      <c r="A22" t="s">
        <v>21</v>
      </c>
      <c r="B22" t="s">
        <v>52</v>
      </c>
      <c r="C22" t="s">
        <v>53</v>
      </c>
      <c r="D22" t="s">
        <v>7</v>
      </c>
      <c r="E22">
        <v>2015</v>
      </c>
      <c r="F22" t="s">
        <v>20</v>
      </c>
      <c r="G22" s="11">
        <f>'Calcs (2)'!K66</f>
        <v>3.2760985117249058E-3</v>
      </c>
      <c r="H22" t="s">
        <v>25</v>
      </c>
    </row>
    <row r="23" spans="1:8" x14ac:dyDescent="0.35">
      <c r="A23" t="s">
        <v>21</v>
      </c>
      <c r="B23" t="s">
        <v>52</v>
      </c>
      <c r="C23" t="s">
        <v>53</v>
      </c>
      <c r="D23" t="s">
        <v>7</v>
      </c>
      <c r="E23">
        <v>2020</v>
      </c>
      <c r="F23" t="s">
        <v>20</v>
      </c>
      <c r="G23" s="11">
        <f>'Calcs (2)'!K67</f>
        <v>3.2760985117249058E-3</v>
      </c>
      <c r="H23" t="s">
        <v>25</v>
      </c>
    </row>
    <row r="24" spans="1:8" x14ac:dyDescent="0.35">
      <c r="A24" t="s">
        <v>21</v>
      </c>
      <c r="B24" t="s">
        <v>52</v>
      </c>
      <c r="C24" t="s">
        <v>53</v>
      </c>
      <c r="D24" t="s">
        <v>7</v>
      </c>
      <c r="E24">
        <v>2025</v>
      </c>
      <c r="F24" t="s">
        <v>20</v>
      </c>
      <c r="G24" s="11">
        <f>'Calcs (2)'!K68</f>
        <v>3.2760985117249058E-3</v>
      </c>
      <c r="H24" t="s">
        <v>25</v>
      </c>
    </row>
    <row r="25" spans="1:8" x14ac:dyDescent="0.35">
      <c r="A25" t="s">
        <v>21</v>
      </c>
      <c r="B25" t="s">
        <v>52</v>
      </c>
      <c r="C25" t="s">
        <v>53</v>
      </c>
      <c r="D25" t="s">
        <v>7</v>
      </c>
      <c r="E25">
        <v>2030</v>
      </c>
      <c r="F25" t="s">
        <v>20</v>
      </c>
      <c r="G25" s="11">
        <f>'Calcs (2)'!K69</f>
        <v>3.2760985117249058E-3</v>
      </c>
      <c r="H25" t="s">
        <v>25</v>
      </c>
    </row>
    <row r="26" spans="1:8" x14ac:dyDescent="0.35">
      <c r="A26" t="s">
        <v>21</v>
      </c>
      <c r="B26" t="s">
        <v>52</v>
      </c>
      <c r="C26" t="s">
        <v>53</v>
      </c>
      <c r="D26" t="s">
        <v>7</v>
      </c>
      <c r="E26">
        <v>2035</v>
      </c>
      <c r="F26" t="s">
        <v>20</v>
      </c>
      <c r="G26" s="11">
        <f>'Calcs (2)'!K70</f>
        <v>3.2760985117249058E-3</v>
      </c>
      <c r="H26" t="s">
        <v>25</v>
      </c>
    </row>
    <row r="27" spans="1:8" x14ac:dyDescent="0.35">
      <c r="A27" t="s">
        <v>21</v>
      </c>
      <c r="B27" t="s">
        <v>52</v>
      </c>
      <c r="C27" t="s">
        <v>53</v>
      </c>
      <c r="D27" t="s">
        <v>7</v>
      </c>
      <c r="E27">
        <v>2040</v>
      </c>
      <c r="F27" t="s">
        <v>20</v>
      </c>
      <c r="G27" s="12">
        <f>G26</f>
        <v>3.2760985117249058E-3</v>
      </c>
      <c r="H27" t="s">
        <v>25</v>
      </c>
    </row>
    <row r="28" spans="1:8" x14ac:dyDescent="0.35">
      <c r="A28" t="s">
        <v>21</v>
      </c>
      <c r="B28" t="s">
        <v>52</v>
      </c>
      <c r="C28" t="s">
        <v>53</v>
      </c>
      <c r="D28" t="s">
        <v>7</v>
      </c>
      <c r="E28">
        <v>2045</v>
      </c>
      <c r="F28" t="s">
        <v>20</v>
      </c>
      <c r="G28" s="12">
        <f>G27</f>
        <v>3.2760985117249058E-3</v>
      </c>
      <c r="H28" t="s">
        <v>25</v>
      </c>
    </row>
    <row r="29" spans="1:8" x14ac:dyDescent="0.35">
      <c r="A29" t="s">
        <v>21</v>
      </c>
      <c r="B29" t="s">
        <v>52</v>
      </c>
      <c r="C29" t="s">
        <v>53</v>
      </c>
      <c r="D29" t="s">
        <v>7</v>
      </c>
      <c r="E29">
        <v>2050</v>
      </c>
      <c r="F29" t="s">
        <v>20</v>
      </c>
      <c r="G29" s="12">
        <f>G28</f>
        <v>3.2760985117249058E-3</v>
      </c>
      <c r="H29" t="s">
        <v>25</v>
      </c>
    </row>
    <row r="30" spans="1:8" x14ac:dyDescent="0.35">
      <c r="A30" t="s">
        <v>21</v>
      </c>
      <c r="B30" t="s">
        <v>52</v>
      </c>
      <c r="C30" t="s">
        <v>53</v>
      </c>
      <c r="D30" t="s">
        <v>7</v>
      </c>
      <c r="E30">
        <v>2015</v>
      </c>
      <c r="F30" t="s">
        <v>15</v>
      </c>
      <c r="G30" s="11">
        <f>'Calcs (2)'!K61</f>
        <v>2.8640924919469918E-3</v>
      </c>
      <c r="H30" t="s">
        <v>25</v>
      </c>
    </row>
    <row r="31" spans="1:8" x14ac:dyDescent="0.35">
      <c r="A31" t="s">
        <v>21</v>
      </c>
      <c r="B31" t="s">
        <v>52</v>
      </c>
      <c r="C31" t="s">
        <v>53</v>
      </c>
      <c r="D31" t="s">
        <v>7</v>
      </c>
      <c r="E31">
        <v>2020</v>
      </c>
      <c r="F31" t="s">
        <v>15</v>
      </c>
      <c r="G31" s="11">
        <f>'Calcs (2)'!K62</f>
        <v>2.8640924919469918E-3</v>
      </c>
      <c r="H31" t="s">
        <v>25</v>
      </c>
    </row>
    <row r="32" spans="1:8" x14ac:dyDescent="0.35">
      <c r="A32" t="s">
        <v>21</v>
      </c>
      <c r="B32" t="s">
        <v>52</v>
      </c>
      <c r="C32" t="s">
        <v>53</v>
      </c>
      <c r="D32" t="s">
        <v>7</v>
      </c>
      <c r="E32">
        <v>2025</v>
      </c>
      <c r="F32" t="s">
        <v>15</v>
      </c>
      <c r="G32" s="11">
        <f>'Calcs (2)'!K63</f>
        <v>2.8640924919469918E-3</v>
      </c>
      <c r="H32" t="s">
        <v>25</v>
      </c>
    </row>
    <row r="33" spans="1:8" x14ac:dyDescent="0.35">
      <c r="A33" t="s">
        <v>21</v>
      </c>
      <c r="B33" t="s">
        <v>52</v>
      </c>
      <c r="C33" t="s">
        <v>53</v>
      </c>
      <c r="D33" t="s">
        <v>7</v>
      </c>
      <c r="E33">
        <v>2030</v>
      </c>
      <c r="F33" t="s">
        <v>15</v>
      </c>
      <c r="G33" s="11">
        <f>'Calcs (2)'!K64</f>
        <v>2.8640924919469918E-3</v>
      </c>
      <c r="H33" t="s">
        <v>25</v>
      </c>
    </row>
    <row r="34" spans="1:8" x14ac:dyDescent="0.35">
      <c r="A34" t="s">
        <v>21</v>
      </c>
      <c r="B34" t="s">
        <v>52</v>
      </c>
      <c r="C34" t="s">
        <v>53</v>
      </c>
      <c r="D34" t="s">
        <v>7</v>
      </c>
      <c r="E34">
        <v>2035</v>
      </c>
      <c r="F34" t="s">
        <v>15</v>
      </c>
      <c r="G34" s="11">
        <f>'Calcs (2)'!K65</f>
        <v>2.8640924919469918E-3</v>
      </c>
      <c r="H34" t="s">
        <v>25</v>
      </c>
    </row>
    <row r="35" spans="1:8" x14ac:dyDescent="0.35">
      <c r="A35" t="s">
        <v>21</v>
      </c>
      <c r="B35" t="s">
        <v>52</v>
      </c>
      <c r="C35" t="s">
        <v>53</v>
      </c>
      <c r="D35" t="s">
        <v>7</v>
      </c>
      <c r="E35">
        <v>2040</v>
      </c>
      <c r="F35" t="s">
        <v>15</v>
      </c>
      <c r="G35" s="12">
        <f>G34</f>
        <v>2.8640924919469918E-3</v>
      </c>
      <c r="H35" t="s">
        <v>25</v>
      </c>
    </row>
    <row r="36" spans="1:8" x14ac:dyDescent="0.35">
      <c r="A36" t="s">
        <v>21</v>
      </c>
      <c r="B36" t="s">
        <v>52</v>
      </c>
      <c r="C36" t="s">
        <v>53</v>
      </c>
      <c r="D36" t="s">
        <v>7</v>
      </c>
      <c r="E36">
        <v>2045</v>
      </c>
      <c r="F36" t="s">
        <v>15</v>
      </c>
      <c r="G36" s="12">
        <f>G35</f>
        <v>2.8640924919469918E-3</v>
      </c>
      <c r="H36" t="s">
        <v>25</v>
      </c>
    </row>
    <row r="37" spans="1:8" x14ac:dyDescent="0.35">
      <c r="A37" t="s">
        <v>21</v>
      </c>
      <c r="B37" t="s">
        <v>52</v>
      </c>
      <c r="C37" t="s">
        <v>53</v>
      </c>
      <c r="D37" t="s">
        <v>7</v>
      </c>
      <c r="E37">
        <v>2050</v>
      </c>
      <c r="F37" t="s">
        <v>15</v>
      </c>
      <c r="G37" s="12">
        <f>G36</f>
        <v>2.8640924919469918E-3</v>
      </c>
      <c r="H37" t="s">
        <v>25</v>
      </c>
    </row>
    <row r="38" spans="1:8" x14ac:dyDescent="0.35">
      <c r="A38" t="s">
        <v>21</v>
      </c>
      <c r="B38" t="s">
        <v>52</v>
      </c>
      <c r="C38" t="s">
        <v>53</v>
      </c>
      <c r="D38" t="s">
        <v>7</v>
      </c>
      <c r="E38">
        <v>2015</v>
      </c>
      <c r="F38" t="s">
        <v>19</v>
      </c>
      <c r="G38" s="11">
        <f>'Calcs (2)'!K71</f>
        <v>8.7078873210378743E-3</v>
      </c>
      <c r="H38" t="s">
        <v>25</v>
      </c>
    </row>
    <row r="39" spans="1:8" x14ac:dyDescent="0.35">
      <c r="A39" t="s">
        <v>21</v>
      </c>
      <c r="B39" t="s">
        <v>52</v>
      </c>
      <c r="C39" t="s">
        <v>53</v>
      </c>
      <c r="D39" t="s">
        <v>7</v>
      </c>
      <c r="E39">
        <v>2020</v>
      </c>
      <c r="F39" t="s">
        <v>19</v>
      </c>
      <c r="G39" s="11">
        <f>'Calcs (2)'!K72</f>
        <v>8.7078873210378743E-3</v>
      </c>
      <c r="H39" t="s">
        <v>25</v>
      </c>
    </row>
    <row r="40" spans="1:8" x14ac:dyDescent="0.35">
      <c r="A40" t="s">
        <v>21</v>
      </c>
      <c r="B40" t="s">
        <v>52</v>
      </c>
      <c r="C40" t="s">
        <v>53</v>
      </c>
      <c r="D40" t="s">
        <v>7</v>
      </c>
      <c r="E40">
        <v>2025</v>
      </c>
      <c r="F40" t="s">
        <v>19</v>
      </c>
      <c r="G40" s="11">
        <f>'Calcs (2)'!K73</f>
        <v>8.7078873210378743E-3</v>
      </c>
      <c r="H40" t="s">
        <v>25</v>
      </c>
    </row>
    <row r="41" spans="1:8" x14ac:dyDescent="0.35">
      <c r="A41" t="s">
        <v>21</v>
      </c>
      <c r="B41" t="s">
        <v>52</v>
      </c>
      <c r="C41" t="s">
        <v>53</v>
      </c>
      <c r="D41" t="s">
        <v>7</v>
      </c>
      <c r="E41">
        <v>2030</v>
      </c>
      <c r="F41" t="s">
        <v>19</v>
      </c>
      <c r="G41" s="11">
        <f>'Calcs (2)'!K74</f>
        <v>8.7078873210378743E-3</v>
      </c>
      <c r="H41" t="s">
        <v>25</v>
      </c>
    </row>
    <row r="42" spans="1:8" x14ac:dyDescent="0.35">
      <c r="A42" t="s">
        <v>21</v>
      </c>
      <c r="B42" t="s">
        <v>52</v>
      </c>
      <c r="C42" t="s">
        <v>53</v>
      </c>
      <c r="D42" t="s">
        <v>7</v>
      </c>
      <c r="E42">
        <v>2035</v>
      </c>
      <c r="F42" t="s">
        <v>19</v>
      </c>
      <c r="G42" s="11">
        <f>'Calcs (2)'!K75</f>
        <v>8.7078873210378743E-3</v>
      </c>
      <c r="H42" t="s">
        <v>25</v>
      </c>
    </row>
    <row r="43" spans="1:8" x14ac:dyDescent="0.35">
      <c r="A43" t="s">
        <v>21</v>
      </c>
      <c r="B43" t="s">
        <v>52</v>
      </c>
      <c r="C43" t="s">
        <v>53</v>
      </c>
      <c r="D43" t="s">
        <v>7</v>
      </c>
      <c r="E43">
        <v>2040</v>
      </c>
      <c r="F43" t="s">
        <v>19</v>
      </c>
      <c r="G43" s="12">
        <f>G42</f>
        <v>8.7078873210378743E-3</v>
      </c>
      <c r="H43" t="s">
        <v>25</v>
      </c>
    </row>
    <row r="44" spans="1:8" x14ac:dyDescent="0.35">
      <c r="A44" t="s">
        <v>21</v>
      </c>
      <c r="B44" t="s">
        <v>52</v>
      </c>
      <c r="C44" t="s">
        <v>53</v>
      </c>
      <c r="D44" t="s">
        <v>7</v>
      </c>
      <c r="E44">
        <v>2045</v>
      </c>
      <c r="F44" t="s">
        <v>19</v>
      </c>
      <c r="G44" s="12">
        <f>G43</f>
        <v>8.7078873210378743E-3</v>
      </c>
      <c r="H44" t="s">
        <v>25</v>
      </c>
    </row>
    <row r="45" spans="1:8" x14ac:dyDescent="0.35">
      <c r="A45" t="s">
        <v>21</v>
      </c>
      <c r="B45" t="s">
        <v>52</v>
      </c>
      <c r="C45" t="s">
        <v>53</v>
      </c>
      <c r="D45" t="s">
        <v>7</v>
      </c>
      <c r="E45">
        <v>2050</v>
      </c>
      <c r="F45" t="s">
        <v>19</v>
      </c>
      <c r="G45" s="12">
        <f>G44</f>
        <v>8.7078873210378743E-3</v>
      </c>
      <c r="H45" t="s">
        <v>25</v>
      </c>
    </row>
    <row r="46" spans="1:8" x14ac:dyDescent="0.35">
      <c r="A46" t="s">
        <v>21</v>
      </c>
      <c r="B46" t="s">
        <v>52</v>
      </c>
      <c r="C46" t="s">
        <v>53</v>
      </c>
      <c r="D46" t="s">
        <v>7</v>
      </c>
      <c r="E46">
        <v>2015</v>
      </c>
      <c r="F46" t="s">
        <v>27</v>
      </c>
      <c r="G46" s="11">
        <f>'Calcs (2)'!K76</f>
        <v>0.15043665279452489</v>
      </c>
      <c r="H46" t="s">
        <v>25</v>
      </c>
    </row>
    <row r="47" spans="1:8" x14ac:dyDescent="0.35">
      <c r="A47" t="s">
        <v>21</v>
      </c>
      <c r="B47" t="s">
        <v>52</v>
      </c>
      <c r="C47" t="s">
        <v>53</v>
      </c>
      <c r="D47" t="s">
        <v>7</v>
      </c>
      <c r="E47">
        <v>2020</v>
      </c>
      <c r="F47" t="s">
        <v>27</v>
      </c>
      <c r="G47" s="11">
        <f>'Calcs (2)'!K77</f>
        <v>0.15043665279452489</v>
      </c>
      <c r="H47" t="s">
        <v>25</v>
      </c>
    </row>
    <row r="48" spans="1:8" x14ac:dyDescent="0.35">
      <c r="A48" t="s">
        <v>21</v>
      </c>
      <c r="B48" t="s">
        <v>52</v>
      </c>
      <c r="C48" t="s">
        <v>53</v>
      </c>
      <c r="D48" t="s">
        <v>7</v>
      </c>
      <c r="E48">
        <v>2025</v>
      </c>
      <c r="F48" t="s">
        <v>27</v>
      </c>
      <c r="G48" s="11">
        <f>'Calcs (2)'!K78</f>
        <v>0.15043665279452489</v>
      </c>
      <c r="H48" t="s">
        <v>25</v>
      </c>
    </row>
    <row r="49" spans="1:8" x14ac:dyDescent="0.35">
      <c r="A49" t="s">
        <v>21</v>
      </c>
      <c r="B49" t="s">
        <v>52</v>
      </c>
      <c r="C49" t="s">
        <v>53</v>
      </c>
      <c r="D49" t="s">
        <v>7</v>
      </c>
      <c r="E49">
        <v>2030</v>
      </c>
      <c r="F49" t="s">
        <v>27</v>
      </c>
      <c r="G49" s="11">
        <f>'Calcs (2)'!K79</f>
        <v>0.15043665279452489</v>
      </c>
      <c r="H49" t="s">
        <v>25</v>
      </c>
    </row>
    <row r="50" spans="1:8" x14ac:dyDescent="0.35">
      <c r="A50" t="s">
        <v>21</v>
      </c>
      <c r="B50" t="s">
        <v>52</v>
      </c>
      <c r="C50" t="s">
        <v>53</v>
      </c>
      <c r="D50" t="s">
        <v>7</v>
      </c>
      <c r="E50">
        <v>2035</v>
      </c>
      <c r="F50" t="s">
        <v>27</v>
      </c>
      <c r="G50" s="11">
        <f>'Calcs (2)'!K80</f>
        <v>0.15043665279452489</v>
      </c>
      <c r="H50" t="s">
        <v>25</v>
      </c>
    </row>
    <row r="51" spans="1:8" x14ac:dyDescent="0.35">
      <c r="A51" t="s">
        <v>21</v>
      </c>
      <c r="B51" t="s">
        <v>52</v>
      </c>
      <c r="C51" t="s">
        <v>53</v>
      </c>
      <c r="D51" t="s">
        <v>7</v>
      </c>
      <c r="E51">
        <v>2040</v>
      </c>
      <c r="F51" t="s">
        <v>27</v>
      </c>
      <c r="G51" s="12">
        <f>G50</f>
        <v>0.15043665279452489</v>
      </c>
      <c r="H51" t="s">
        <v>25</v>
      </c>
    </row>
    <row r="52" spans="1:8" x14ac:dyDescent="0.35">
      <c r="A52" t="s">
        <v>21</v>
      </c>
      <c r="B52" t="s">
        <v>52</v>
      </c>
      <c r="C52" t="s">
        <v>53</v>
      </c>
      <c r="D52" t="s">
        <v>7</v>
      </c>
      <c r="E52">
        <v>2045</v>
      </c>
      <c r="F52" t="s">
        <v>27</v>
      </c>
      <c r="G52" s="12">
        <f>G51</f>
        <v>0.15043665279452489</v>
      </c>
      <c r="H52" t="s">
        <v>25</v>
      </c>
    </row>
    <row r="53" spans="1:8" x14ac:dyDescent="0.35">
      <c r="A53" t="s">
        <v>21</v>
      </c>
      <c r="B53" t="s">
        <v>52</v>
      </c>
      <c r="C53" t="s">
        <v>53</v>
      </c>
      <c r="D53" t="s">
        <v>7</v>
      </c>
      <c r="E53">
        <v>2050</v>
      </c>
      <c r="F53" t="s">
        <v>27</v>
      </c>
      <c r="G53" s="12">
        <f>G52</f>
        <v>0.15043665279452489</v>
      </c>
      <c r="H53" t="s">
        <v>25</v>
      </c>
    </row>
    <row r="54" spans="1:8" x14ac:dyDescent="0.35">
      <c r="A54" t="s">
        <v>21</v>
      </c>
      <c r="B54" t="s">
        <v>52</v>
      </c>
      <c r="C54" t="s">
        <v>53</v>
      </c>
      <c r="D54" t="s">
        <v>9</v>
      </c>
      <c r="E54">
        <v>2015</v>
      </c>
      <c r="F54" t="s">
        <v>8</v>
      </c>
      <c r="G54" s="11">
        <f>'Calcs (2)'!K51</f>
        <v>2.9417445232222228E-2</v>
      </c>
      <c r="H54" t="s">
        <v>25</v>
      </c>
    </row>
    <row r="55" spans="1:8" x14ac:dyDescent="0.35">
      <c r="A55" t="s">
        <v>21</v>
      </c>
      <c r="B55" t="s">
        <v>52</v>
      </c>
      <c r="C55" t="s">
        <v>53</v>
      </c>
      <c r="D55" t="s">
        <v>9</v>
      </c>
      <c r="E55">
        <v>2020</v>
      </c>
      <c r="F55" t="s">
        <v>8</v>
      </c>
      <c r="G55" s="11">
        <f>'Calcs (2)'!K52</f>
        <v>2.9417445232222228E-2</v>
      </c>
      <c r="H55" t="s">
        <v>25</v>
      </c>
    </row>
    <row r="56" spans="1:8" x14ac:dyDescent="0.35">
      <c r="A56" t="s">
        <v>21</v>
      </c>
      <c r="B56" t="s">
        <v>52</v>
      </c>
      <c r="C56" t="s">
        <v>53</v>
      </c>
      <c r="D56" t="s">
        <v>9</v>
      </c>
      <c r="E56">
        <v>2025</v>
      </c>
      <c r="F56" t="s">
        <v>8</v>
      </c>
      <c r="G56" s="11">
        <f>'Calcs (2)'!K53</f>
        <v>2.9417445232222228E-2</v>
      </c>
      <c r="H56" t="s">
        <v>25</v>
      </c>
    </row>
    <row r="57" spans="1:8" x14ac:dyDescent="0.35">
      <c r="A57" t="s">
        <v>21</v>
      </c>
      <c r="B57" t="s">
        <v>52</v>
      </c>
      <c r="C57" t="s">
        <v>53</v>
      </c>
      <c r="D57" t="s">
        <v>9</v>
      </c>
      <c r="E57">
        <v>2030</v>
      </c>
      <c r="F57" t="s">
        <v>8</v>
      </c>
      <c r="G57" s="11">
        <f>'Calcs (2)'!K54</f>
        <v>2.9417445232222228E-2</v>
      </c>
      <c r="H57" t="s">
        <v>25</v>
      </c>
    </row>
    <row r="58" spans="1:8" x14ac:dyDescent="0.35">
      <c r="A58" t="s">
        <v>21</v>
      </c>
      <c r="B58" t="s">
        <v>52</v>
      </c>
      <c r="C58" t="s">
        <v>53</v>
      </c>
      <c r="D58" t="s">
        <v>9</v>
      </c>
      <c r="E58">
        <v>2035</v>
      </c>
      <c r="F58" t="s">
        <v>8</v>
      </c>
      <c r="G58" s="11">
        <f>'Calcs (2)'!K55</f>
        <v>2.9417445232222228E-2</v>
      </c>
      <c r="H58" t="s">
        <v>25</v>
      </c>
    </row>
    <row r="59" spans="1:8" x14ac:dyDescent="0.35">
      <c r="A59" t="s">
        <v>21</v>
      </c>
      <c r="B59" t="s">
        <v>52</v>
      </c>
      <c r="C59" t="s">
        <v>53</v>
      </c>
      <c r="D59" t="s">
        <v>9</v>
      </c>
      <c r="E59">
        <v>2040</v>
      </c>
      <c r="F59" t="s">
        <v>8</v>
      </c>
      <c r="G59" s="12">
        <f>G58</f>
        <v>2.9417445232222228E-2</v>
      </c>
      <c r="H59" t="s">
        <v>25</v>
      </c>
    </row>
    <row r="60" spans="1:8" x14ac:dyDescent="0.35">
      <c r="A60" t="s">
        <v>21</v>
      </c>
      <c r="B60" t="s">
        <v>52</v>
      </c>
      <c r="C60" t="s">
        <v>53</v>
      </c>
      <c r="D60" t="s">
        <v>9</v>
      </c>
      <c r="E60">
        <v>2045</v>
      </c>
      <c r="F60" t="s">
        <v>8</v>
      </c>
      <c r="G60" s="12">
        <f>G59</f>
        <v>2.9417445232222228E-2</v>
      </c>
      <c r="H60" t="s">
        <v>25</v>
      </c>
    </row>
    <row r="61" spans="1:8" x14ac:dyDescent="0.35">
      <c r="A61" t="s">
        <v>21</v>
      </c>
      <c r="B61" t="s">
        <v>52</v>
      </c>
      <c r="C61" t="s">
        <v>53</v>
      </c>
      <c r="D61" t="s">
        <v>9</v>
      </c>
      <c r="E61">
        <v>2050</v>
      </c>
      <c r="F61" t="s">
        <v>8</v>
      </c>
      <c r="G61" s="12">
        <f>G60</f>
        <v>2.9417445232222228E-2</v>
      </c>
      <c r="H61" t="s">
        <v>25</v>
      </c>
    </row>
    <row r="62" spans="1:8" x14ac:dyDescent="0.35">
      <c r="A62" t="s">
        <v>21</v>
      </c>
      <c r="B62" t="s">
        <v>52</v>
      </c>
      <c r="C62" t="s">
        <v>53</v>
      </c>
      <c r="D62" t="s">
        <v>9</v>
      </c>
      <c r="E62">
        <v>2015</v>
      </c>
      <c r="F62" t="s">
        <v>78</v>
      </c>
      <c r="G62" s="11">
        <f>'Calcs (2)'!K56</f>
        <v>3.9725640439180242E-3</v>
      </c>
      <c r="H62" t="s">
        <v>25</v>
      </c>
    </row>
    <row r="63" spans="1:8" x14ac:dyDescent="0.35">
      <c r="A63" t="s">
        <v>21</v>
      </c>
      <c r="B63" t="s">
        <v>52</v>
      </c>
      <c r="C63" t="s">
        <v>53</v>
      </c>
      <c r="D63" t="s">
        <v>9</v>
      </c>
      <c r="E63">
        <v>2020</v>
      </c>
      <c r="F63" t="s">
        <v>78</v>
      </c>
      <c r="G63" s="11">
        <f>'Calcs (2)'!K57</f>
        <v>3.9725640439180242E-3</v>
      </c>
      <c r="H63" t="s">
        <v>25</v>
      </c>
    </row>
    <row r="64" spans="1:8" x14ac:dyDescent="0.35">
      <c r="A64" t="s">
        <v>21</v>
      </c>
      <c r="B64" t="s">
        <v>52</v>
      </c>
      <c r="C64" t="s">
        <v>53</v>
      </c>
      <c r="D64" t="s">
        <v>9</v>
      </c>
      <c r="E64">
        <v>2025</v>
      </c>
      <c r="F64" t="s">
        <v>78</v>
      </c>
      <c r="G64" s="11">
        <f>'Calcs (2)'!K58</f>
        <v>3.9725640439180242E-3</v>
      </c>
      <c r="H64" t="s">
        <v>25</v>
      </c>
    </row>
    <row r="65" spans="1:8" x14ac:dyDescent="0.35">
      <c r="A65" t="s">
        <v>21</v>
      </c>
      <c r="B65" t="s">
        <v>52</v>
      </c>
      <c r="C65" t="s">
        <v>53</v>
      </c>
      <c r="D65" t="s">
        <v>9</v>
      </c>
      <c r="E65">
        <v>2030</v>
      </c>
      <c r="F65" t="s">
        <v>78</v>
      </c>
      <c r="G65" s="11">
        <f>'Calcs (2)'!K59</f>
        <v>3.9725640439180242E-3</v>
      </c>
      <c r="H65" t="s">
        <v>25</v>
      </c>
    </row>
    <row r="66" spans="1:8" x14ac:dyDescent="0.35">
      <c r="A66" t="s">
        <v>21</v>
      </c>
      <c r="B66" t="s">
        <v>52</v>
      </c>
      <c r="C66" t="s">
        <v>53</v>
      </c>
      <c r="D66" t="s">
        <v>9</v>
      </c>
      <c r="E66">
        <v>2035</v>
      </c>
      <c r="F66" t="s">
        <v>78</v>
      </c>
      <c r="G66" s="11">
        <f>'Calcs (2)'!K60</f>
        <v>3.9725640439180242E-3</v>
      </c>
      <c r="H66" t="s">
        <v>25</v>
      </c>
    </row>
    <row r="67" spans="1:8" x14ac:dyDescent="0.35">
      <c r="A67" t="s">
        <v>21</v>
      </c>
      <c r="B67" t="s">
        <v>52</v>
      </c>
      <c r="C67" t="s">
        <v>53</v>
      </c>
      <c r="D67" t="s">
        <v>9</v>
      </c>
      <c r="E67">
        <v>2040</v>
      </c>
      <c r="F67" t="s">
        <v>78</v>
      </c>
      <c r="G67" s="12">
        <f>G66</f>
        <v>3.9725640439180242E-3</v>
      </c>
      <c r="H67" t="s">
        <v>25</v>
      </c>
    </row>
    <row r="68" spans="1:8" x14ac:dyDescent="0.35">
      <c r="A68" t="s">
        <v>21</v>
      </c>
      <c r="B68" t="s">
        <v>52</v>
      </c>
      <c r="C68" t="s">
        <v>53</v>
      </c>
      <c r="D68" t="s">
        <v>9</v>
      </c>
      <c r="E68">
        <v>2045</v>
      </c>
      <c r="F68" t="s">
        <v>78</v>
      </c>
      <c r="G68" s="12">
        <f>G67</f>
        <v>3.9725640439180242E-3</v>
      </c>
      <c r="H68" t="s">
        <v>25</v>
      </c>
    </row>
    <row r="69" spans="1:8" x14ac:dyDescent="0.35">
      <c r="A69" t="s">
        <v>21</v>
      </c>
      <c r="B69" t="s">
        <v>52</v>
      </c>
      <c r="C69" t="s">
        <v>53</v>
      </c>
      <c r="D69" t="s">
        <v>9</v>
      </c>
      <c r="E69">
        <v>2050</v>
      </c>
      <c r="F69" t="s">
        <v>78</v>
      </c>
      <c r="G69" s="12">
        <f>G68</f>
        <v>3.9725640439180242E-3</v>
      </c>
      <c r="H69" t="s">
        <v>25</v>
      </c>
    </row>
    <row r="70" spans="1:8" x14ac:dyDescent="0.35">
      <c r="A70" t="s">
        <v>21</v>
      </c>
      <c r="B70" t="s">
        <v>52</v>
      </c>
      <c r="C70" t="s">
        <v>53</v>
      </c>
      <c r="D70" t="s">
        <v>9</v>
      </c>
      <c r="E70">
        <v>2015</v>
      </c>
      <c r="F70" t="s">
        <v>20</v>
      </c>
      <c r="G70" s="11">
        <f>'Calcs (2)'!K66</f>
        <v>3.2760985117249058E-3</v>
      </c>
      <c r="H70" t="s">
        <v>25</v>
      </c>
    </row>
    <row r="71" spans="1:8" x14ac:dyDescent="0.35">
      <c r="A71" t="s">
        <v>21</v>
      </c>
      <c r="B71" t="s">
        <v>52</v>
      </c>
      <c r="C71" t="s">
        <v>53</v>
      </c>
      <c r="D71" t="s">
        <v>9</v>
      </c>
      <c r="E71">
        <v>2020</v>
      </c>
      <c r="F71" t="s">
        <v>20</v>
      </c>
      <c r="G71" s="11">
        <f>'Calcs (2)'!K67</f>
        <v>3.2760985117249058E-3</v>
      </c>
      <c r="H71" t="s">
        <v>25</v>
      </c>
    </row>
    <row r="72" spans="1:8" x14ac:dyDescent="0.35">
      <c r="A72" t="s">
        <v>21</v>
      </c>
      <c r="B72" t="s">
        <v>52</v>
      </c>
      <c r="C72" t="s">
        <v>53</v>
      </c>
      <c r="D72" t="s">
        <v>9</v>
      </c>
      <c r="E72">
        <v>2025</v>
      </c>
      <c r="F72" t="s">
        <v>20</v>
      </c>
      <c r="G72" s="11">
        <f>'Calcs (2)'!K68</f>
        <v>3.2760985117249058E-3</v>
      </c>
      <c r="H72" t="s">
        <v>25</v>
      </c>
    </row>
    <row r="73" spans="1:8" x14ac:dyDescent="0.35">
      <c r="A73" t="s">
        <v>21</v>
      </c>
      <c r="B73" t="s">
        <v>52</v>
      </c>
      <c r="C73" t="s">
        <v>53</v>
      </c>
      <c r="D73" t="s">
        <v>9</v>
      </c>
      <c r="E73">
        <v>2030</v>
      </c>
      <c r="F73" t="s">
        <v>20</v>
      </c>
      <c r="G73" s="11">
        <f>'Calcs (2)'!K69</f>
        <v>3.2760985117249058E-3</v>
      </c>
      <c r="H73" t="s">
        <v>25</v>
      </c>
    </row>
    <row r="74" spans="1:8" x14ac:dyDescent="0.35">
      <c r="A74" t="s">
        <v>21</v>
      </c>
      <c r="B74" t="s">
        <v>52</v>
      </c>
      <c r="C74" t="s">
        <v>53</v>
      </c>
      <c r="D74" t="s">
        <v>9</v>
      </c>
      <c r="E74">
        <v>2035</v>
      </c>
      <c r="F74" t="s">
        <v>20</v>
      </c>
      <c r="G74" s="11">
        <f>'Calcs (2)'!K70</f>
        <v>3.2760985117249058E-3</v>
      </c>
      <c r="H74" t="s">
        <v>25</v>
      </c>
    </row>
    <row r="75" spans="1:8" x14ac:dyDescent="0.35">
      <c r="A75" t="s">
        <v>21</v>
      </c>
      <c r="B75" t="s">
        <v>52</v>
      </c>
      <c r="C75" t="s">
        <v>53</v>
      </c>
      <c r="D75" t="s">
        <v>9</v>
      </c>
      <c r="E75">
        <v>2040</v>
      </c>
      <c r="F75" t="s">
        <v>20</v>
      </c>
      <c r="G75" s="12">
        <f>G74</f>
        <v>3.2760985117249058E-3</v>
      </c>
      <c r="H75" t="s">
        <v>25</v>
      </c>
    </row>
    <row r="76" spans="1:8" x14ac:dyDescent="0.35">
      <c r="A76" t="s">
        <v>21</v>
      </c>
      <c r="B76" t="s">
        <v>52</v>
      </c>
      <c r="C76" t="s">
        <v>53</v>
      </c>
      <c r="D76" t="s">
        <v>9</v>
      </c>
      <c r="E76">
        <v>2045</v>
      </c>
      <c r="F76" t="s">
        <v>20</v>
      </c>
      <c r="G76" s="12">
        <f>G75</f>
        <v>3.2760985117249058E-3</v>
      </c>
      <c r="H76" t="s">
        <v>25</v>
      </c>
    </row>
    <row r="77" spans="1:8" x14ac:dyDescent="0.35">
      <c r="A77" t="s">
        <v>21</v>
      </c>
      <c r="B77" t="s">
        <v>52</v>
      </c>
      <c r="C77" t="s">
        <v>53</v>
      </c>
      <c r="D77" t="s">
        <v>9</v>
      </c>
      <c r="E77">
        <v>2050</v>
      </c>
      <c r="F77" t="s">
        <v>20</v>
      </c>
      <c r="G77" s="12">
        <f>G76</f>
        <v>3.2760985117249058E-3</v>
      </c>
      <c r="H77" t="s">
        <v>25</v>
      </c>
    </row>
    <row r="78" spans="1:8" x14ac:dyDescent="0.35">
      <c r="A78" t="s">
        <v>21</v>
      </c>
      <c r="B78" t="s">
        <v>52</v>
      </c>
      <c r="C78" t="s">
        <v>53</v>
      </c>
      <c r="D78" t="s">
        <v>9</v>
      </c>
      <c r="E78">
        <v>2015</v>
      </c>
      <c r="F78" t="s">
        <v>15</v>
      </c>
      <c r="G78" s="11">
        <f>'Calcs (2)'!K61</f>
        <v>2.8640924919469918E-3</v>
      </c>
      <c r="H78" t="s">
        <v>25</v>
      </c>
    </row>
    <row r="79" spans="1:8" x14ac:dyDescent="0.35">
      <c r="A79" t="s">
        <v>21</v>
      </c>
      <c r="B79" t="s">
        <v>52</v>
      </c>
      <c r="C79" t="s">
        <v>53</v>
      </c>
      <c r="D79" t="s">
        <v>9</v>
      </c>
      <c r="E79">
        <v>2020</v>
      </c>
      <c r="F79" t="s">
        <v>15</v>
      </c>
      <c r="G79" s="11">
        <f>'Calcs (2)'!K62</f>
        <v>2.8640924919469918E-3</v>
      </c>
      <c r="H79" t="s">
        <v>25</v>
      </c>
    </row>
    <row r="80" spans="1:8" x14ac:dyDescent="0.35">
      <c r="A80" t="s">
        <v>21</v>
      </c>
      <c r="B80" t="s">
        <v>52</v>
      </c>
      <c r="C80" t="s">
        <v>53</v>
      </c>
      <c r="D80" t="s">
        <v>9</v>
      </c>
      <c r="E80">
        <v>2025</v>
      </c>
      <c r="F80" t="s">
        <v>15</v>
      </c>
      <c r="G80" s="11">
        <f>'Calcs (2)'!K63</f>
        <v>2.8640924919469918E-3</v>
      </c>
      <c r="H80" t="s">
        <v>25</v>
      </c>
    </row>
    <row r="81" spans="1:8" x14ac:dyDescent="0.35">
      <c r="A81" t="s">
        <v>21</v>
      </c>
      <c r="B81" t="s">
        <v>52</v>
      </c>
      <c r="C81" t="s">
        <v>53</v>
      </c>
      <c r="D81" t="s">
        <v>9</v>
      </c>
      <c r="E81">
        <v>2030</v>
      </c>
      <c r="F81" t="s">
        <v>15</v>
      </c>
      <c r="G81" s="11">
        <f>'Calcs (2)'!K64</f>
        <v>2.8640924919469918E-3</v>
      </c>
      <c r="H81" t="s">
        <v>25</v>
      </c>
    </row>
    <row r="82" spans="1:8" x14ac:dyDescent="0.35">
      <c r="A82" t="s">
        <v>21</v>
      </c>
      <c r="B82" t="s">
        <v>52</v>
      </c>
      <c r="C82" t="s">
        <v>53</v>
      </c>
      <c r="D82" t="s">
        <v>9</v>
      </c>
      <c r="E82">
        <v>2035</v>
      </c>
      <c r="F82" t="s">
        <v>15</v>
      </c>
      <c r="G82" s="11">
        <f>'Calcs (2)'!K65</f>
        <v>2.8640924919469918E-3</v>
      </c>
      <c r="H82" t="s">
        <v>25</v>
      </c>
    </row>
    <row r="83" spans="1:8" x14ac:dyDescent="0.35">
      <c r="A83" t="s">
        <v>21</v>
      </c>
      <c r="B83" t="s">
        <v>52</v>
      </c>
      <c r="C83" t="s">
        <v>53</v>
      </c>
      <c r="D83" t="s">
        <v>9</v>
      </c>
      <c r="E83">
        <v>2040</v>
      </c>
      <c r="F83" t="s">
        <v>15</v>
      </c>
      <c r="G83" s="12">
        <f>G82</f>
        <v>2.8640924919469918E-3</v>
      </c>
      <c r="H83" t="s">
        <v>25</v>
      </c>
    </row>
    <row r="84" spans="1:8" x14ac:dyDescent="0.35">
      <c r="A84" t="s">
        <v>21</v>
      </c>
      <c r="B84" t="s">
        <v>52</v>
      </c>
      <c r="C84" t="s">
        <v>53</v>
      </c>
      <c r="D84" t="s">
        <v>9</v>
      </c>
      <c r="E84">
        <v>2045</v>
      </c>
      <c r="F84" t="s">
        <v>15</v>
      </c>
      <c r="G84" s="12">
        <f>G83</f>
        <v>2.8640924919469918E-3</v>
      </c>
      <c r="H84" t="s">
        <v>25</v>
      </c>
    </row>
    <row r="85" spans="1:8" x14ac:dyDescent="0.35">
      <c r="A85" t="s">
        <v>21</v>
      </c>
      <c r="B85" t="s">
        <v>52</v>
      </c>
      <c r="C85" t="s">
        <v>53</v>
      </c>
      <c r="D85" t="s">
        <v>9</v>
      </c>
      <c r="E85">
        <v>2050</v>
      </c>
      <c r="F85" t="s">
        <v>15</v>
      </c>
      <c r="G85" s="12">
        <f>G84</f>
        <v>2.8640924919469918E-3</v>
      </c>
      <c r="H85" t="s">
        <v>25</v>
      </c>
    </row>
    <row r="86" spans="1:8" x14ac:dyDescent="0.35">
      <c r="A86" t="s">
        <v>21</v>
      </c>
      <c r="B86" t="s">
        <v>52</v>
      </c>
      <c r="C86" t="s">
        <v>53</v>
      </c>
      <c r="D86" t="s">
        <v>9</v>
      </c>
      <c r="E86">
        <v>2015</v>
      </c>
      <c r="F86" t="s">
        <v>19</v>
      </c>
      <c r="G86" s="11">
        <f>'Calcs (2)'!K71</f>
        <v>8.7078873210378743E-3</v>
      </c>
      <c r="H86" t="s">
        <v>25</v>
      </c>
    </row>
    <row r="87" spans="1:8" x14ac:dyDescent="0.35">
      <c r="A87" t="s">
        <v>21</v>
      </c>
      <c r="B87" t="s">
        <v>52</v>
      </c>
      <c r="C87" t="s">
        <v>53</v>
      </c>
      <c r="D87" t="s">
        <v>9</v>
      </c>
      <c r="E87">
        <v>2020</v>
      </c>
      <c r="F87" t="s">
        <v>19</v>
      </c>
      <c r="G87" s="11">
        <f>'Calcs (2)'!K72</f>
        <v>8.7078873210378743E-3</v>
      </c>
      <c r="H87" t="s">
        <v>25</v>
      </c>
    </row>
    <row r="88" spans="1:8" x14ac:dyDescent="0.35">
      <c r="A88" t="s">
        <v>21</v>
      </c>
      <c r="B88" t="s">
        <v>52</v>
      </c>
      <c r="C88" t="s">
        <v>53</v>
      </c>
      <c r="D88" t="s">
        <v>9</v>
      </c>
      <c r="E88">
        <v>2025</v>
      </c>
      <c r="F88" t="s">
        <v>19</v>
      </c>
      <c r="G88" s="11">
        <f>'Calcs (2)'!K73</f>
        <v>8.7078873210378743E-3</v>
      </c>
      <c r="H88" t="s">
        <v>25</v>
      </c>
    </row>
    <row r="89" spans="1:8" x14ac:dyDescent="0.35">
      <c r="A89" t="s">
        <v>21</v>
      </c>
      <c r="B89" t="s">
        <v>52</v>
      </c>
      <c r="C89" t="s">
        <v>53</v>
      </c>
      <c r="D89" t="s">
        <v>9</v>
      </c>
      <c r="E89">
        <v>2030</v>
      </c>
      <c r="F89" t="s">
        <v>19</v>
      </c>
      <c r="G89" s="11">
        <f>'Calcs (2)'!K74</f>
        <v>8.7078873210378743E-3</v>
      </c>
      <c r="H89" t="s">
        <v>25</v>
      </c>
    </row>
    <row r="90" spans="1:8" x14ac:dyDescent="0.35">
      <c r="A90" t="s">
        <v>21</v>
      </c>
      <c r="B90" t="s">
        <v>52</v>
      </c>
      <c r="C90" t="s">
        <v>53</v>
      </c>
      <c r="D90" t="s">
        <v>9</v>
      </c>
      <c r="E90">
        <v>2035</v>
      </c>
      <c r="F90" t="s">
        <v>19</v>
      </c>
      <c r="G90" s="11">
        <f>'Calcs (2)'!K75</f>
        <v>8.7078873210378743E-3</v>
      </c>
      <c r="H90" t="s">
        <v>25</v>
      </c>
    </row>
    <row r="91" spans="1:8" x14ac:dyDescent="0.35">
      <c r="A91" t="s">
        <v>21</v>
      </c>
      <c r="B91" t="s">
        <v>52</v>
      </c>
      <c r="C91" t="s">
        <v>53</v>
      </c>
      <c r="D91" t="s">
        <v>9</v>
      </c>
      <c r="E91">
        <v>2040</v>
      </c>
      <c r="F91" t="s">
        <v>19</v>
      </c>
      <c r="G91" s="12">
        <f>G90</f>
        <v>8.7078873210378743E-3</v>
      </c>
      <c r="H91" t="s">
        <v>25</v>
      </c>
    </row>
    <row r="92" spans="1:8" x14ac:dyDescent="0.35">
      <c r="A92" t="s">
        <v>21</v>
      </c>
      <c r="B92" t="s">
        <v>52</v>
      </c>
      <c r="C92" t="s">
        <v>53</v>
      </c>
      <c r="D92" t="s">
        <v>9</v>
      </c>
      <c r="E92">
        <v>2045</v>
      </c>
      <c r="F92" t="s">
        <v>19</v>
      </c>
      <c r="G92" s="12">
        <f>G91</f>
        <v>8.7078873210378743E-3</v>
      </c>
      <c r="H92" t="s">
        <v>25</v>
      </c>
    </row>
    <row r="93" spans="1:8" x14ac:dyDescent="0.35">
      <c r="A93" t="s">
        <v>21</v>
      </c>
      <c r="B93" t="s">
        <v>52</v>
      </c>
      <c r="C93" t="s">
        <v>53</v>
      </c>
      <c r="D93" t="s">
        <v>9</v>
      </c>
      <c r="E93">
        <v>2050</v>
      </c>
      <c r="F93" t="s">
        <v>19</v>
      </c>
      <c r="G93" s="12">
        <f>G92</f>
        <v>8.7078873210378743E-3</v>
      </c>
      <c r="H93" t="s">
        <v>25</v>
      </c>
    </row>
    <row r="94" spans="1:8" x14ac:dyDescent="0.35">
      <c r="A94" t="s">
        <v>21</v>
      </c>
      <c r="B94" t="s">
        <v>52</v>
      </c>
      <c r="C94" t="s">
        <v>53</v>
      </c>
      <c r="D94" t="s">
        <v>9</v>
      </c>
      <c r="E94">
        <v>2015</v>
      </c>
      <c r="F94" t="s">
        <v>27</v>
      </c>
      <c r="G94" s="11">
        <f>'Calcs (2)'!K76</f>
        <v>0.15043665279452489</v>
      </c>
      <c r="H94" t="s">
        <v>25</v>
      </c>
    </row>
    <row r="95" spans="1:8" x14ac:dyDescent="0.35">
      <c r="A95" t="s">
        <v>21</v>
      </c>
      <c r="B95" t="s">
        <v>52</v>
      </c>
      <c r="C95" t="s">
        <v>53</v>
      </c>
      <c r="D95" t="s">
        <v>9</v>
      </c>
      <c r="E95">
        <v>2020</v>
      </c>
      <c r="F95" t="s">
        <v>27</v>
      </c>
      <c r="G95" s="11">
        <f>'Calcs (2)'!K77</f>
        <v>0.15043665279452489</v>
      </c>
      <c r="H95" t="s">
        <v>25</v>
      </c>
    </row>
    <row r="96" spans="1:8" x14ac:dyDescent="0.35">
      <c r="A96" t="s">
        <v>21</v>
      </c>
      <c r="B96" t="s">
        <v>52</v>
      </c>
      <c r="C96" t="s">
        <v>53</v>
      </c>
      <c r="D96" t="s">
        <v>9</v>
      </c>
      <c r="E96">
        <v>2025</v>
      </c>
      <c r="F96" t="s">
        <v>27</v>
      </c>
      <c r="G96" s="11">
        <f>'Calcs (2)'!K78</f>
        <v>0.15043665279452489</v>
      </c>
      <c r="H96" t="s">
        <v>25</v>
      </c>
    </row>
    <row r="97" spans="1:8" x14ac:dyDescent="0.35">
      <c r="A97" t="s">
        <v>21</v>
      </c>
      <c r="B97" t="s">
        <v>52</v>
      </c>
      <c r="C97" t="s">
        <v>53</v>
      </c>
      <c r="D97" t="s">
        <v>9</v>
      </c>
      <c r="E97">
        <v>2030</v>
      </c>
      <c r="F97" t="s">
        <v>27</v>
      </c>
      <c r="G97" s="11">
        <f>'Calcs (2)'!K79</f>
        <v>0.15043665279452489</v>
      </c>
      <c r="H97" t="s">
        <v>25</v>
      </c>
    </row>
    <row r="98" spans="1:8" x14ac:dyDescent="0.35">
      <c r="A98" t="s">
        <v>21</v>
      </c>
      <c r="B98" t="s">
        <v>52</v>
      </c>
      <c r="C98" t="s">
        <v>53</v>
      </c>
      <c r="D98" t="s">
        <v>9</v>
      </c>
      <c r="E98">
        <v>2035</v>
      </c>
      <c r="F98" t="s">
        <v>27</v>
      </c>
      <c r="G98" s="11">
        <f>'Calcs (2)'!K80</f>
        <v>0.15043665279452489</v>
      </c>
      <c r="H98" t="s">
        <v>25</v>
      </c>
    </row>
    <row r="99" spans="1:8" x14ac:dyDescent="0.35">
      <c r="A99" t="s">
        <v>21</v>
      </c>
      <c r="B99" t="s">
        <v>52</v>
      </c>
      <c r="C99" t="s">
        <v>53</v>
      </c>
      <c r="D99" t="s">
        <v>9</v>
      </c>
      <c r="E99">
        <v>2040</v>
      </c>
      <c r="F99" t="s">
        <v>27</v>
      </c>
      <c r="G99" s="12">
        <f>G98</f>
        <v>0.15043665279452489</v>
      </c>
      <c r="H99" t="s">
        <v>25</v>
      </c>
    </row>
    <row r="100" spans="1:8" x14ac:dyDescent="0.35">
      <c r="A100" t="s">
        <v>21</v>
      </c>
      <c r="B100" t="s">
        <v>52</v>
      </c>
      <c r="C100" t="s">
        <v>53</v>
      </c>
      <c r="D100" t="s">
        <v>9</v>
      </c>
      <c r="E100">
        <v>2045</v>
      </c>
      <c r="F100" t="s">
        <v>27</v>
      </c>
      <c r="G100" s="12">
        <f>G99</f>
        <v>0.15043665279452489</v>
      </c>
      <c r="H100" t="s">
        <v>25</v>
      </c>
    </row>
    <row r="101" spans="1:8" x14ac:dyDescent="0.35">
      <c r="A101" t="s">
        <v>21</v>
      </c>
      <c r="B101" t="s">
        <v>52</v>
      </c>
      <c r="C101" t="s">
        <v>53</v>
      </c>
      <c r="D101" t="s">
        <v>9</v>
      </c>
      <c r="E101">
        <v>2050</v>
      </c>
      <c r="F101" t="s">
        <v>27</v>
      </c>
      <c r="G101" s="12">
        <f>G100</f>
        <v>0.15043665279452489</v>
      </c>
      <c r="H101" t="s">
        <v>25</v>
      </c>
    </row>
    <row r="102" spans="1:8" x14ac:dyDescent="0.35">
      <c r="A102" t="s">
        <v>21</v>
      </c>
      <c r="B102" t="s">
        <v>38</v>
      </c>
      <c r="C102" t="s">
        <v>39</v>
      </c>
      <c r="D102" t="s">
        <v>7</v>
      </c>
      <c r="E102">
        <v>2015</v>
      </c>
      <c r="F102" t="s">
        <v>8</v>
      </c>
      <c r="G102" s="11">
        <f>'Calcs (2)'!L51</f>
        <v>6.3990004660298597E-2</v>
      </c>
      <c r="H102" t="s">
        <v>25</v>
      </c>
    </row>
    <row r="103" spans="1:8" x14ac:dyDescent="0.35">
      <c r="A103" t="s">
        <v>21</v>
      </c>
      <c r="B103" t="s">
        <v>38</v>
      </c>
      <c r="C103" t="s">
        <v>39</v>
      </c>
      <c r="D103" t="s">
        <v>7</v>
      </c>
      <c r="E103">
        <v>2020</v>
      </c>
      <c r="F103" t="s">
        <v>8</v>
      </c>
      <c r="G103" s="11">
        <f>'Calcs (2)'!L52</f>
        <v>6.3990004660298597E-2</v>
      </c>
      <c r="H103" t="s">
        <v>25</v>
      </c>
    </row>
    <row r="104" spans="1:8" x14ac:dyDescent="0.35">
      <c r="A104" t="s">
        <v>21</v>
      </c>
      <c r="B104" t="s">
        <v>38</v>
      </c>
      <c r="C104" t="s">
        <v>39</v>
      </c>
      <c r="D104" t="s">
        <v>7</v>
      </c>
      <c r="E104">
        <v>2025</v>
      </c>
      <c r="F104" t="s">
        <v>8</v>
      </c>
      <c r="G104" s="11">
        <f>'Calcs (2)'!L53</f>
        <v>6.3990004660298597E-2</v>
      </c>
      <c r="H104" t="s">
        <v>25</v>
      </c>
    </row>
    <row r="105" spans="1:8" x14ac:dyDescent="0.35">
      <c r="A105" t="s">
        <v>21</v>
      </c>
      <c r="B105" t="s">
        <v>38</v>
      </c>
      <c r="C105" t="s">
        <v>39</v>
      </c>
      <c r="D105" t="s">
        <v>7</v>
      </c>
      <c r="E105">
        <v>2030</v>
      </c>
      <c r="F105" t="s">
        <v>8</v>
      </c>
      <c r="G105" s="11">
        <f>'Calcs (2)'!L54</f>
        <v>6.3990004660298597E-2</v>
      </c>
      <c r="H105" t="s">
        <v>25</v>
      </c>
    </row>
    <row r="106" spans="1:8" x14ac:dyDescent="0.35">
      <c r="A106" t="s">
        <v>21</v>
      </c>
      <c r="B106" t="s">
        <v>38</v>
      </c>
      <c r="C106" t="s">
        <v>39</v>
      </c>
      <c r="D106" t="s">
        <v>7</v>
      </c>
      <c r="E106">
        <v>2035</v>
      </c>
      <c r="F106" t="s">
        <v>8</v>
      </c>
      <c r="G106" s="11">
        <f>'Calcs (2)'!L55</f>
        <v>6.3990004660298597E-2</v>
      </c>
      <c r="H106" t="s">
        <v>25</v>
      </c>
    </row>
    <row r="107" spans="1:8" x14ac:dyDescent="0.35">
      <c r="A107" t="s">
        <v>21</v>
      </c>
      <c r="B107" t="s">
        <v>38</v>
      </c>
      <c r="C107" t="s">
        <v>39</v>
      </c>
      <c r="D107" t="s">
        <v>7</v>
      </c>
      <c r="E107">
        <v>2040</v>
      </c>
      <c r="F107" t="s">
        <v>8</v>
      </c>
      <c r="G107" s="12">
        <f>G106</f>
        <v>6.3990004660298597E-2</v>
      </c>
      <c r="H107" t="s">
        <v>25</v>
      </c>
    </row>
    <row r="108" spans="1:8" x14ac:dyDescent="0.35">
      <c r="A108" t="s">
        <v>21</v>
      </c>
      <c r="B108" t="s">
        <v>38</v>
      </c>
      <c r="C108" t="s">
        <v>39</v>
      </c>
      <c r="D108" t="s">
        <v>7</v>
      </c>
      <c r="E108">
        <v>2045</v>
      </c>
      <c r="F108" t="s">
        <v>8</v>
      </c>
      <c r="G108" s="12">
        <f>G107</f>
        <v>6.3990004660298597E-2</v>
      </c>
      <c r="H108" t="s">
        <v>25</v>
      </c>
    </row>
    <row r="109" spans="1:8" x14ac:dyDescent="0.35">
      <c r="A109" t="s">
        <v>21</v>
      </c>
      <c r="B109" t="s">
        <v>38</v>
      </c>
      <c r="C109" t="s">
        <v>39</v>
      </c>
      <c r="D109" t="s">
        <v>7</v>
      </c>
      <c r="E109">
        <v>2050</v>
      </c>
      <c r="F109" t="s">
        <v>8</v>
      </c>
      <c r="G109" s="12">
        <f>G108</f>
        <v>6.3990004660298597E-2</v>
      </c>
      <c r="H109" t="s">
        <v>25</v>
      </c>
    </row>
    <row r="110" spans="1:8" x14ac:dyDescent="0.35">
      <c r="A110" t="s">
        <v>21</v>
      </c>
      <c r="B110" t="s">
        <v>38</v>
      </c>
      <c r="C110" t="s">
        <v>39</v>
      </c>
      <c r="D110" t="s">
        <v>7</v>
      </c>
      <c r="E110">
        <v>2015</v>
      </c>
      <c r="F110" t="s">
        <v>78</v>
      </c>
      <c r="G110" s="11">
        <f>'Calcs (2)'!L56</f>
        <v>6.1010049020630676E-3</v>
      </c>
      <c r="H110" t="s">
        <v>25</v>
      </c>
    </row>
    <row r="111" spans="1:8" x14ac:dyDescent="0.35">
      <c r="A111" t="s">
        <v>21</v>
      </c>
      <c r="B111" t="s">
        <v>38</v>
      </c>
      <c r="C111" t="s">
        <v>39</v>
      </c>
      <c r="D111" t="s">
        <v>7</v>
      </c>
      <c r="E111">
        <v>2020</v>
      </c>
      <c r="F111" t="s">
        <v>78</v>
      </c>
      <c r="G111" s="11">
        <f>'Calcs (2)'!L57</f>
        <v>6.1010049020630676E-3</v>
      </c>
      <c r="H111" t="s">
        <v>25</v>
      </c>
    </row>
    <row r="112" spans="1:8" x14ac:dyDescent="0.35">
      <c r="A112" t="s">
        <v>21</v>
      </c>
      <c r="B112" t="s">
        <v>38</v>
      </c>
      <c r="C112" t="s">
        <v>39</v>
      </c>
      <c r="D112" t="s">
        <v>7</v>
      </c>
      <c r="E112">
        <v>2025</v>
      </c>
      <c r="F112" t="s">
        <v>78</v>
      </c>
      <c r="G112" s="11">
        <f>'Calcs (2)'!L58</f>
        <v>6.1010049020630676E-3</v>
      </c>
      <c r="H112" t="s">
        <v>25</v>
      </c>
    </row>
    <row r="113" spans="1:8" x14ac:dyDescent="0.35">
      <c r="A113" t="s">
        <v>21</v>
      </c>
      <c r="B113" t="s">
        <v>38</v>
      </c>
      <c r="C113" t="s">
        <v>39</v>
      </c>
      <c r="D113" t="s">
        <v>7</v>
      </c>
      <c r="E113">
        <v>2030</v>
      </c>
      <c r="F113" t="s">
        <v>78</v>
      </c>
      <c r="G113" s="11">
        <f>'Calcs (2)'!L59</f>
        <v>6.1010049020630676E-3</v>
      </c>
      <c r="H113" t="s">
        <v>25</v>
      </c>
    </row>
    <row r="114" spans="1:8" x14ac:dyDescent="0.35">
      <c r="A114" t="s">
        <v>21</v>
      </c>
      <c r="B114" t="s">
        <v>38</v>
      </c>
      <c r="C114" t="s">
        <v>39</v>
      </c>
      <c r="D114" t="s">
        <v>7</v>
      </c>
      <c r="E114">
        <v>2035</v>
      </c>
      <c r="F114" t="s">
        <v>78</v>
      </c>
      <c r="G114" s="11">
        <f>'Calcs (2)'!L60</f>
        <v>6.1010049020630676E-3</v>
      </c>
      <c r="H114" t="s">
        <v>25</v>
      </c>
    </row>
    <row r="115" spans="1:8" x14ac:dyDescent="0.35">
      <c r="A115" t="s">
        <v>21</v>
      </c>
      <c r="B115" t="s">
        <v>38</v>
      </c>
      <c r="C115" t="s">
        <v>39</v>
      </c>
      <c r="D115" t="s">
        <v>7</v>
      </c>
      <c r="E115">
        <v>2040</v>
      </c>
      <c r="F115" t="s">
        <v>78</v>
      </c>
      <c r="G115" s="12">
        <f>G114</f>
        <v>6.1010049020630676E-3</v>
      </c>
      <c r="H115" t="s">
        <v>25</v>
      </c>
    </row>
    <row r="116" spans="1:8" x14ac:dyDescent="0.35">
      <c r="A116" t="s">
        <v>21</v>
      </c>
      <c r="B116" t="s">
        <v>38</v>
      </c>
      <c r="C116" t="s">
        <v>39</v>
      </c>
      <c r="D116" t="s">
        <v>7</v>
      </c>
      <c r="E116">
        <v>2045</v>
      </c>
      <c r="F116" t="s">
        <v>78</v>
      </c>
      <c r="G116" s="12">
        <f>G115</f>
        <v>6.1010049020630676E-3</v>
      </c>
      <c r="H116" t="s">
        <v>25</v>
      </c>
    </row>
    <row r="117" spans="1:8" x14ac:dyDescent="0.35">
      <c r="A117" t="s">
        <v>21</v>
      </c>
      <c r="B117" t="s">
        <v>38</v>
      </c>
      <c r="C117" t="s">
        <v>39</v>
      </c>
      <c r="D117" t="s">
        <v>7</v>
      </c>
      <c r="E117">
        <v>2050</v>
      </c>
      <c r="F117" t="s">
        <v>78</v>
      </c>
      <c r="G117" s="12">
        <f>G116</f>
        <v>6.1010049020630676E-3</v>
      </c>
      <c r="H117" t="s">
        <v>25</v>
      </c>
    </row>
    <row r="118" spans="1:8" x14ac:dyDescent="0.35">
      <c r="A118" t="s">
        <v>21</v>
      </c>
      <c r="B118" t="s">
        <v>38</v>
      </c>
      <c r="C118" t="s">
        <v>39</v>
      </c>
      <c r="D118" t="s">
        <v>7</v>
      </c>
      <c r="E118">
        <v>2015</v>
      </c>
      <c r="F118" t="s">
        <v>20</v>
      </c>
      <c r="G118" s="11">
        <f>'Calcs (2)'!L66</f>
        <v>4.3842414224348053E-4</v>
      </c>
      <c r="H118" t="s">
        <v>25</v>
      </c>
    </row>
    <row r="119" spans="1:8" x14ac:dyDescent="0.35">
      <c r="A119" t="s">
        <v>21</v>
      </c>
      <c r="B119" t="s">
        <v>38</v>
      </c>
      <c r="C119" t="s">
        <v>39</v>
      </c>
      <c r="D119" t="s">
        <v>7</v>
      </c>
      <c r="E119">
        <v>2020</v>
      </c>
      <c r="F119" t="s">
        <v>20</v>
      </c>
      <c r="G119" s="11">
        <f>'Calcs (2)'!L67</f>
        <v>4.3842414224348053E-4</v>
      </c>
      <c r="H119" t="s">
        <v>25</v>
      </c>
    </row>
    <row r="120" spans="1:8" x14ac:dyDescent="0.35">
      <c r="A120" t="s">
        <v>21</v>
      </c>
      <c r="B120" t="s">
        <v>38</v>
      </c>
      <c r="C120" t="s">
        <v>39</v>
      </c>
      <c r="D120" t="s">
        <v>7</v>
      </c>
      <c r="E120">
        <v>2025</v>
      </c>
      <c r="F120" t="s">
        <v>20</v>
      </c>
      <c r="G120" s="11">
        <f>'Calcs (2)'!L68</f>
        <v>4.3842414224348053E-4</v>
      </c>
      <c r="H120" t="s">
        <v>25</v>
      </c>
    </row>
    <row r="121" spans="1:8" x14ac:dyDescent="0.35">
      <c r="A121" t="s">
        <v>21</v>
      </c>
      <c r="B121" t="s">
        <v>38</v>
      </c>
      <c r="C121" t="s">
        <v>39</v>
      </c>
      <c r="D121" t="s">
        <v>7</v>
      </c>
      <c r="E121">
        <v>2030</v>
      </c>
      <c r="F121" t="s">
        <v>20</v>
      </c>
      <c r="G121" s="11">
        <f>'Calcs (2)'!L69</f>
        <v>4.3842414224348053E-4</v>
      </c>
      <c r="H121" t="s">
        <v>25</v>
      </c>
    </row>
    <row r="122" spans="1:8" x14ac:dyDescent="0.35">
      <c r="A122" t="s">
        <v>21</v>
      </c>
      <c r="B122" t="s">
        <v>38</v>
      </c>
      <c r="C122" t="s">
        <v>39</v>
      </c>
      <c r="D122" t="s">
        <v>7</v>
      </c>
      <c r="E122">
        <v>2035</v>
      </c>
      <c r="F122" t="s">
        <v>20</v>
      </c>
      <c r="G122" s="11">
        <f>'Calcs (2)'!L70</f>
        <v>4.3842414224348053E-4</v>
      </c>
      <c r="H122" t="s">
        <v>25</v>
      </c>
    </row>
    <row r="123" spans="1:8" x14ac:dyDescent="0.35">
      <c r="A123" t="s">
        <v>21</v>
      </c>
      <c r="B123" t="s">
        <v>38</v>
      </c>
      <c r="C123" t="s">
        <v>39</v>
      </c>
      <c r="D123" t="s">
        <v>7</v>
      </c>
      <c r="E123">
        <v>2040</v>
      </c>
      <c r="F123" t="s">
        <v>20</v>
      </c>
      <c r="G123" s="12">
        <f>G122</f>
        <v>4.3842414224348053E-4</v>
      </c>
      <c r="H123" t="s">
        <v>25</v>
      </c>
    </row>
    <row r="124" spans="1:8" x14ac:dyDescent="0.35">
      <c r="A124" t="s">
        <v>21</v>
      </c>
      <c r="B124" t="s">
        <v>38</v>
      </c>
      <c r="C124" t="s">
        <v>39</v>
      </c>
      <c r="D124" t="s">
        <v>7</v>
      </c>
      <c r="E124">
        <v>2045</v>
      </c>
      <c r="F124" t="s">
        <v>20</v>
      </c>
      <c r="G124" s="12">
        <f>G123</f>
        <v>4.3842414224348053E-4</v>
      </c>
      <c r="H124" t="s">
        <v>25</v>
      </c>
    </row>
    <row r="125" spans="1:8" x14ac:dyDescent="0.35">
      <c r="A125" t="s">
        <v>21</v>
      </c>
      <c r="B125" t="s">
        <v>38</v>
      </c>
      <c r="C125" t="s">
        <v>39</v>
      </c>
      <c r="D125" t="s">
        <v>7</v>
      </c>
      <c r="E125">
        <v>2050</v>
      </c>
      <c r="F125" t="s">
        <v>20</v>
      </c>
      <c r="G125" s="12">
        <f>G124</f>
        <v>4.3842414224348053E-4</v>
      </c>
      <c r="H125" t="s">
        <v>25</v>
      </c>
    </row>
    <row r="126" spans="1:8" x14ac:dyDescent="0.35">
      <c r="A126" t="s">
        <v>21</v>
      </c>
      <c r="B126" t="s">
        <v>38</v>
      </c>
      <c r="C126" t="s">
        <v>39</v>
      </c>
      <c r="D126" t="s">
        <v>7</v>
      </c>
      <c r="E126">
        <v>2015</v>
      </c>
      <c r="F126" t="s">
        <v>15</v>
      </c>
      <c r="G126" s="11">
        <f>'Calcs (2)'!L61</f>
        <v>1.4597658432705736E-3</v>
      </c>
      <c r="H126" t="s">
        <v>25</v>
      </c>
    </row>
    <row r="127" spans="1:8" x14ac:dyDescent="0.35">
      <c r="A127" t="s">
        <v>21</v>
      </c>
      <c r="B127" t="s">
        <v>38</v>
      </c>
      <c r="C127" t="s">
        <v>39</v>
      </c>
      <c r="D127" t="s">
        <v>7</v>
      </c>
      <c r="E127">
        <v>2020</v>
      </c>
      <c r="F127" t="s">
        <v>15</v>
      </c>
      <c r="G127" s="11">
        <f>'Calcs (2)'!L62</f>
        <v>1.4597658432705736E-3</v>
      </c>
      <c r="H127" t="s">
        <v>25</v>
      </c>
    </row>
    <row r="128" spans="1:8" x14ac:dyDescent="0.35">
      <c r="A128" t="s">
        <v>21</v>
      </c>
      <c r="B128" t="s">
        <v>38</v>
      </c>
      <c r="C128" t="s">
        <v>39</v>
      </c>
      <c r="D128" t="s">
        <v>7</v>
      </c>
      <c r="E128">
        <v>2025</v>
      </c>
      <c r="F128" t="s">
        <v>15</v>
      </c>
      <c r="G128" s="11">
        <f>'Calcs (2)'!L63</f>
        <v>1.4597658432705736E-3</v>
      </c>
      <c r="H128" t="s">
        <v>25</v>
      </c>
    </row>
    <row r="129" spans="1:8" x14ac:dyDescent="0.35">
      <c r="A129" t="s">
        <v>21</v>
      </c>
      <c r="B129" t="s">
        <v>38</v>
      </c>
      <c r="C129" t="s">
        <v>39</v>
      </c>
      <c r="D129" t="s">
        <v>7</v>
      </c>
      <c r="E129">
        <v>2030</v>
      </c>
      <c r="F129" t="s">
        <v>15</v>
      </c>
      <c r="G129" s="11">
        <f>'Calcs (2)'!L64</f>
        <v>1.4597658432705736E-3</v>
      </c>
      <c r="H129" t="s">
        <v>25</v>
      </c>
    </row>
    <row r="130" spans="1:8" x14ac:dyDescent="0.35">
      <c r="A130" t="s">
        <v>21</v>
      </c>
      <c r="B130" t="s">
        <v>38</v>
      </c>
      <c r="C130" t="s">
        <v>39</v>
      </c>
      <c r="D130" t="s">
        <v>7</v>
      </c>
      <c r="E130">
        <v>2035</v>
      </c>
      <c r="F130" t="s">
        <v>15</v>
      </c>
      <c r="G130" s="11">
        <f>'Calcs (2)'!L65</f>
        <v>1.4597658432705736E-3</v>
      </c>
      <c r="H130" t="s">
        <v>25</v>
      </c>
    </row>
    <row r="131" spans="1:8" x14ac:dyDescent="0.35">
      <c r="A131" t="s">
        <v>21</v>
      </c>
      <c r="B131" t="s">
        <v>38</v>
      </c>
      <c r="C131" t="s">
        <v>39</v>
      </c>
      <c r="D131" t="s">
        <v>7</v>
      </c>
      <c r="E131">
        <v>2040</v>
      </c>
      <c r="F131" t="s">
        <v>15</v>
      </c>
      <c r="G131" s="12">
        <f>G130</f>
        <v>1.4597658432705736E-3</v>
      </c>
      <c r="H131" t="s">
        <v>25</v>
      </c>
    </row>
    <row r="132" spans="1:8" x14ac:dyDescent="0.35">
      <c r="A132" t="s">
        <v>21</v>
      </c>
      <c r="B132" t="s">
        <v>38</v>
      </c>
      <c r="C132" t="s">
        <v>39</v>
      </c>
      <c r="D132" t="s">
        <v>7</v>
      </c>
      <c r="E132">
        <v>2045</v>
      </c>
      <c r="F132" t="s">
        <v>15</v>
      </c>
      <c r="G132" s="12">
        <f>G131</f>
        <v>1.4597658432705736E-3</v>
      </c>
      <c r="H132" t="s">
        <v>25</v>
      </c>
    </row>
    <row r="133" spans="1:8" x14ac:dyDescent="0.35">
      <c r="A133" t="s">
        <v>21</v>
      </c>
      <c r="B133" t="s">
        <v>38</v>
      </c>
      <c r="C133" t="s">
        <v>39</v>
      </c>
      <c r="D133" t="s">
        <v>7</v>
      </c>
      <c r="E133">
        <v>2050</v>
      </c>
      <c r="F133" t="s">
        <v>15</v>
      </c>
      <c r="G133" s="12">
        <f>G132</f>
        <v>1.4597658432705736E-3</v>
      </c>
      <c r="H133" t="s">
        <v>25</v>
      </c>
    </row>
    <row r="134" spans="1:8" x14ac:dyDescent="0.35">
      <c r="A134" t="s">
        <v>21</v>
      </c>
      <c r="B134" t="s">
        <v>38</v>
      </c>
      <c r="C134" t="s">
        <v>39</v>
      </c>
      <c r="D134" t="s">
        <v>7</v>
      </c>
      <c r="E134">
        <v>2015</v>
      </c>
      <c r="F134" t="s">
        <v>19</v>
      </c>
      <c r="G134" s="11">
        <f>'Calcs (2)'!L71</f>
        <v>4.3100860630048282E-2</v>
      </c>
      <c r="H134" t="s">
        <v>25</v>
      </c>
    </row>
    <row r="135" spans="1:8" x14ac:dyDescent="0.35">
      <c r="A135" t="s">
        <v>21</v>
      </c>
      <c r="B135" t="s">
        <v>38</v>
      </c>
      <c r="C135" t="s">
        <v>39</v>
      </c>
      <c r="D135" t="s">
        <v>7</v>
      </c>
      <c r="E135">
        <v>2020</v>
      </c>
      <c r="F135" t="s">
        <v>19</v>
      </c>
      <c r="G135" s="11">
        <f>'Calcs (2)'!L72</f>
        <v>4.3100860630048282E-2</v>
      </c>
      <c r="H135" t="s">
        <v>25</v>
      </c>
    </row>
    <row r="136" spans="1:8" x14ac:dyDescent="0.35">
      <c r="A136" t="s">
        <v>21</v>
      </c>
      <c r="B136" t="s">
        <v>38</v>
      </c>
      <c r="C136" t="s">
        <v>39</v>
      </c>
      <c r="D136" t="s">
        <v>7</v>
      </c>
      <c r="E136">
        <v>2025</v>
      </c>
      <c r="F136" t="s">
        <v>19</v>
      </c>
      <c r="G136" s="11">
        <f>'Calcs (2)'!L73</f>
        <v>4.3100860630048282E-2</v>
      </c>
      <c r="H136" t="s">
        <v>25</v>
      </c>
    </row>
    <row r="137" spans="1:8" x14ac:dyDescent="0.35">
      <c r="A137" t="s">
        <v>21</v>
      </c>
      <c r="B137" t="s">
        <v>38</v>
      </c>
      <c r="C137" t="s">
        <v>39</v>
      </c>
      <c r="D137" t="s">
        <v>7</v>
      </c>
      <c r="E137">
        <v>2030</v>
      </c>
      <c r="F137" t="s">
        <v>19</v>
      </c>
      <c r="G137" s="11">
        <f>'Calcs (2)'!L74</f>
        <v>4.3100860630048282E-2</v>
      </c>
      <c r="H137" t="s">
        <v>25</v>
      </c>
    </row>
    <row r="138" spans="1:8" x14ac:dyDescent="0.35">
      <c r="A138" t="s">
        <v>21</v>
      </c>
      <c r="B138" t="s">
        <v>38</v>
      </c>
      <c r="C138" t="s">
        <v>39</v>
      </c>
      <c r="D138" t="s">
        <v>7</v>
      </c>
      <c r="E138">
        <v>2035</v>
      </c>
      <c r="F138" t="s">
        <v>19</v>
      </c>
      <c r="G138" s="11">
        <f>'Calcs (2)'!L75</f>
        <v>4.3100860630048282E-2</v>
      </c>
      <c r="H138" t="s">
        <v>25</v>
      </c>
    </row>
    <row r="139" spans="1:8" x14ac:dyDescent="0.35">
      <c r="A139" t="s">
        <v>21</v>
      </c>
      <c r="B139" t="s">
        <v>38</v>
      </c>
      <c r="C139" t="s">
        <v>39</v>
      </c>
      <c r="D139" t="s">
        <v>7</v>
      </c>
      <c r="E139">
        <v>2040</v>
      </c>
      <c r="F139" t="s">
        <v>19</v>
      </c>
      <c r="G139" s="12">
        <f>G138</f>
        <v>4.3100860630048282E-2</v>
      </c>
      <c r="H139" t="s">
        <v>25</v>
      </c>
    </row>
    <row r="140" spans="1:8" x14ac:dyDescent="0.35">
      <c r="A140" t="s">
        <v>21</v>
      </c>
      <c r="B140" t="s">
        <v>38</v>
      </c>
      <c r="C140" t="s">
        <v>39</v>
      </c>
      <c r="D140" t="s">
        <v>7</v>
      </c>
      <c r="E140">
        <v>2045</v>
      </c>
      <c r="F140" t="s">
        <v>19</v>
      </c>
      <c r="G140" s="12">
        <f>G139</f>
        <v>4.3100860630048282E-2</v>
      </c>
      <c r="H140" t="s">
        <v>25</v>
      </c>
    </row>
    <row r="141" spans="1:8" x14ac:dyDescent="0.35">
      <c r="A141" t="s">
        <v>21</v>
      </c>
      <c r="B141" t="s">
        <v>38</v>
      </c>
      <c r="C141" t="s">
        <v>39</v>
      </c>
      <c r="D141" t="s">
        <v>7</v>
      </c>
      <c r="E141">
        <v>2050</v>
      </c>
      <c r="F141" t="s">
        <v>19</v>
      </c>
      <c r="G141" s="12">
        <f>G140</f>
        <v>4.3100860630048282E-2</v>
      </c>
      <c r="H141" t="s">
        <v>25</v>
      </c>
    </row>
    <row r="142" spans="1:8" x14ac:dyDescent="0.35">
      <c r="A142" t="s">
        <v>21</v>
      </c>
      <c r="B142" t="s">
        <v>38</v>
      </c>
      <c r="C142" t="s">
        <v>39</v>
      </c>
      <c r="D142" t="s">
        <v>7</v>
      </c>
      <c r="E142">
        <v>2015</v>
      </c>
      <c r="F142" t="s">
        <v>27</v>
      </c>
      <c r="G142" s="11">
        <f>'Calcs (2)'!L76</f>
        <v>0.10573178622856208</v>
      </c>
      <c r="H142" t="s">
        <v>25</v>
      </c>
    </row>
    <row r="143" spans="1:8" x14ac:dyDescent="0.35">
      <c r="A143" t="s">
        <v>21</v>
      </c>
      <c r="B143" t="s">
        <v>38</v>
      </c>
      <c r="C143" t="s">
        <v>39</v>
      </c>
      <c r="D143" t="s">
        <v>7</v>
      </c>
      <c r="E143">
        <v>2020</v>
      </c>
      <c r="F143" t="s">
        <v>27</v>
      </c>
      <c r="G143" s="11">
        <f>'Calcs (2)'!L77</f>
        <v>0.10573178622856208</v>
      </c>
      <c r="H143" t="s">
        <v>25</v>
      </c>
    </row>
    <row r="144" spans="1:8" x14ac:dyDescent="0.35">
      <c r="A144" t="s">
        <v>21</v>
      </c>
      <c r="B144" t="s">
        <v>38</v>
      </c>
      <c r="C144" t="s">
        <v>39</v>
      </c>
      <c r="D144" t="s">
        <v>7</v>
      </c>
      <c r="E144">
        <v>2025</v>
      </c>
      <c r="F144" t="s">
        <v>27</v>
      </c>
      <c r="G144" s="11">
        <f>'Calcs (2)'!L78</f>
        <v>0.10573178622856208</v>
      </c>
      <c r="H144" t="s">
        <v>25</v>
      </c>
    </row>
    <row r="145" spans="1:8" x14ac:dyDescent="0.35">
      <c r="A145" t="s">
        <v>21</v>
      </c>
      <c r="B145" t="s">
        <v>38</v>
      </c>
      <c r="C145" t="s">
        <v>39</v>
      </c>
      <c r="D145" t="s">
        <v>7</v>
      </c>
      <c r="E145">
        <v>2030</v>
      </c>
      <c r="F145" t="s">
        <v>27</v>
      </c>
      <c r="G145" s="11">
        <f>'Calcs (2)'!L79</f>
        <v>0.10573178622856208</v>
      </c>
      <c r="H145" t="s">
        <v>25</v>
      </c>
    </row>
    <row r="146" spans="1:8" x14ac:dyDescent="0.35">
      <c r="A146" t="s">
        <v>21</v>
      </c>
      <c r="B146" t="s">
        <v>38</v>
      </c>
      <c r="C146" t="s">
        <v>39</v>
      </c>
      <c r="D146" t="s">
        <v>7</v>
      </c>
      <c r="E146">
        <v>2035</v>
      </c>
      <c r="F146" t="s">
        <v>27</v>
      </c>
      <c r="G146" s="11">
        <f>'Calcs (2)'!L80</f>
        <v>0.10573178622856208</v>
      </c>
      <c r="H146" t="s">
        <v>25</v>
      </c>
    </row>
    <row r="147" spans="1:8" x14ac:dyDescent="0.35">
      <c r="A147" t="s">
        <v>21</v>
      </c>
      <c r="B147" t="s">
        <v>38</v>
      </c>
      <c r="C147" t="s">
        <v>39</v>
      </c>
      <c r="D147" t="s">
        <v>7</v>
      </c>
      <c r="E147">
        <v>2040</v>
      </c>
      <c r="F147" t="s">
        <v>27</v>
      </c>
      <c r="G147" s="12">
        <f>G146</f>
        <v>0.10573178622856208</v>
      </c>
      <c r="H147" t="s">
        <v>25</v>
      </c>
    </row>
    <row r="148" spans="1:8" x14ac:dyDescent="0.35">
      <c r="A148" t="s">
        <v>21</v>
      </c>
      <c r="B148" t="s">
        <v>38</v>
      </c>
      <c r="C148" t="s">
        <v>39</v>
      </c>
      <c r="D148" t="s">
        <v>7</v>
      </c>
      <c r="E148">
        <v>2045</v>
      </c>
      <c r="F148" t="s">
        <v>27</v>
      </c>
      <c r="G148" s="12">
        <f>G147</f>
        <v>0.10573178622856208</v>
      </c>
      <c r="H148" t="s">
        <v>25</v>
      </c>
    </row>
    <row r="149" spans="1:8" x14ac:dyDescent="0.35">
      <c r="A149" t="s">
        <v>21</v>
      </c>
      <c r="B149" t="s">
        <v>38</v>
      </c>
      <c r="C149" t="s">
        <v>39</v>
      </c>
      <c r="D149" t="s">
        <v>7</v>
      </c>
      <c r="E149">
        <v>2050</v>
      </c>
      <c r="F149" t="s">
        <v>27</v>
      </c>
      <c r="G149" s="12">
        <f>G148</f>
        <v>0.10573178622856208</v>
      </c>
      <c r="H149" t="s">
        <v>25</v>
      </c>
    </row>
    <row r="150" spans="1:8" x14ac:dyDescent="0.35">
      <c r="A150" t="s">
        <v>21</v>
      </c>
      <c r="B150" t="s">
        <v>38</v>
      </c>
      <c r="C150" t="s">
        <v>39</v>
      </c>
      <c r="D150" t="s">
        <v>9</v>
      </c>
      <c r="E150">
        <v>2015</v>
      </c>
      <c r="F150" t="s">
        <v>8</v>
      </c>
      <c r="G150" s="11">
        <f>'Calcs (2)'!L51</f>
        <v>6.3990004660298597E-2</v>
      </c>
      <c r="H150" t="s">
        <v>25</v>
      </c>
    </row>
    <row r="151" spans="1:8" x14ac:dyDescent="0.35">
      <c r="A151" t="s">
        <v>21</v>
      </c>
      <c r="B151" t="s">
        <v>38</v>
      </c>
      <c r="C151" t="s">
        <v>39</v>
      </c>
      <c r="D151" t="s">
        <v>9</v>
      </c>
      <c r="E151">
        <v>2020</v>
      </c>
      <c r="F151" t="s">
        <v>8</v>
      </c>
      <c r="G151" s="11">
        <f>'Calcs (2)'!L52</f>
        <v>6.3990004660298597E-2</v>
      </c>
      <c r="H151" t="s">
        <v>25</v>
      </c>
    </row>
    <row r="152" spans="1:8" x14ac:dyDescent="0.35">
      <c r="A152" t="s">
        <v>21</v>
      </c>
      <c r="B152" t="s">
        <v>38</v>
      </c>
      <c r="C152" t="s">
        <v>39</v>
      </c>
      <c r="D152" t="s">
        <v>9</v>
      </c>
      <c r="E152">
        <v>2025</v>
      </c>
      <c r="F152" t="s">
        <v>8</v>
      </c>
      <c r="G152" s="11">
        <f>'Calcs (2)'!L53</f>
        <v>6.3990004660298597E-2</v>
      </c>
      <c r="H152" t="s">
        <v>25</v>
      </c>
    </row>
    <row r="153" spans="1:8" x14ac:dyDescent="0.35">
      <c r="A153" t="s">
        <v>21</v>
      </c>
      <c r="B153" t="s">
        <v>38</v>
      </c>
      <c r="C153" t="s">
        <v>39</v>
      </c>
      <c r="D153" t="s">
        <v>9</v>
      </c>
      <c r="E153">
        <v>2030</v>
      </c>
      <c r="F153" t="s">
        <v>8</v>
      </c>
      <c r="G153" s="11">
        <f>'Calcs (2)'!L54</f>
        <v>6.3990004660298597E-2</v>
      </c>
      <c r="H153" t="s">
        <v>25</v>
      </c>
    </row>
    <row r="154" spans="1:8" x14ac:dyDescent="0.35">
      <c r="A154" t="s">
        <v>21</v>
      </c>
      <c r="B154" t="s">
        <v>38</v>
      </c>
      <c r="C154" t="s">
        <v>39</v>
      </c>
      <c r="D154" t="s">
        <v>9</v>
      </c>
      <c r="E154">
        <v>2035</v>
      </c>
      <c r="F154" t="s">
        <v>8</v>
      </c>
      <c r="G154" s="11">
        <f>'Calcs (2)'!L55</f>
        <v>6.3990004660298597E-2</v>
      </c>
      <c r="H154" t="s">
        <v>25</v>
      </c>
    </row>
    <row r="155" spans="1:8" x14ac:dyDescent="0.35">
      <c r="A155" t="s">
        <v>21</v>
      </c>
      <c r="B155" t="s">
        <v>38</v>
      </c>
      <c r="C155" t="s">
        <v>39</v>
      </c>
      <c r="D155" t="s">
        <v>9</v>
      </c>
      <c r="E155">
        <v>2040</v>
      </c>
      <c r="F155" t="s">
        <v>8</v>
      </c>
      <c r="G155" s="12">
        <f>G154</f>
        <v>6.3990004660298597E-2</v>
      </c>
      <c r="H155" t="s">
        <v>25</v>
      </c>
    </row>
    <row r="156" spans="1:8" x14ac:dyDescent="0.35">
      <c r="A156" t="s">
        <v>21</v>
      </c>
      <c r="B156" t="s">
        <v>38</v>
      </c>
      <c r="C156" t="s">
        <v>39</v>
      </c>
      <c r="D156" t="s">
        <v>9</v>
      </c>
      <c r="E156">
        <v>2045</v>
      </c>
      <c r="F156" t="s">
        <v>8</v>
      </c>
      <c r="G156" s="12">
        <f>G155</f>
        <v>6.3990004660298597E-2</v>
      </c>
      <c r="H156" t="s">
        <v>25</v>
      </c>
    </row>
    <row r="157" spans="1:8" x14ac:dyDescent="0.35">
      <c r="A157" t="s">
        <v>21</v>
      </c>
      <c r="B157" t="s">
        <v>38</v>
      </c>
      <c r="C157" t="s">
        <v>39</v>
      </c>
      <c r="D157" t="s">
        <v>9</v>
      </c>
      <c r="E157">
        <v>2050</v>
      </c>
      <c r="F157" t="s">
        <v>8</v>
      </c>
      <c r="G157" s="12">
        <f>G156</f>
        <v>6.3990004660298597E-2</v>
      </c>
      <c r="H157" t="s">
        <v>25</v>
      </c>
    </row>
    <row r="158" spans="1:8" x14ac:dyDescent="0.35">
      <c r="A158" t="s">
        <v>21</v>
      </c>
      <c r="B158" t="s">
        <v>38</v>
      </c>
      <c r="C158" t="s">
        <v>39</v>
      </c>
      <c r="D158" t="s">
        <v>9</v>
      </c>
      <c r="E158">
        <v>2015</v>
      </c>
      <c r="F158" t="s">
        <v>78</v>
      </c>
      <c r="G158" s="11">
        <f>'Calcs (2)'!L56</f>
        <v>6.1010049020630676E-3</v>
      </c>
      <c r="H158" t="s">
        <v>25</v>
      </c>
    </row>
    <row r="159" spans="1:8" x14ac:dyDescent="0.35">
      <c r="A159" t="s">
        <v>21</v>
      </c>
      <c r="B159" t="s">
        <v>38</v>
      </c>
      <c r="C159" t="s">
        <v>39</v>
      </c>
      <c r="D159" t="s">
        <v>9</v>
      </c>
      <c r="E159">
        <v>2020</v>
      </c>
      <c r="F159" t="s">
        <v>78</v>
      </c>
      <c r="G159" s="11">
        <f>'Calcs (2)'!L57</f>
        <v>6.1010049020630676E-3</v>
      </c>
      <c r="H159" t="s">
        <v>25</v>
      </c>
    </row>
    <row r="160" spans="1:8" x14ac:dyDescent="0.35">
      <c r="A160" t="s">
        <v>21</v>
      </c>
      <c r="B160" t="s">
        <v>38</v>
      </c>
      <c r="C160" t="s">
        <v>39</v>
      </c>
      <c r="D160" t="s">
        <v>9</v>
      </c>
      <c r="E160">
        <v>2025</v>
      </c>
      <c r="F160" t="s">
        <v>78</v>
      </c>
      <c r="G160" s="11">
        <f>'Calcs (2)'!L58</f>
        <v>6.1010049020630676E-3</v>
      </c>
      <c r="H160" t="s">
        <v>25</v>
      </c>
    </row>
    <row r="161" spans="1:8" x14ac:dyDescent="0.35">
      <c r="A161" t="s">
        <v>21</v>
      </c>
      <c r="B161" t="s">
        <v>38</v>
      </c>
      <c r="C161" t="s">
        <v>39</v>
      </c>
      <c r="D161" t="s">
        <v>9</v>
      </c>
      <c r="E161">
        <v>2030</v>
      </c>
      <c r="F161" t="s">
        <v>78</v>
      </c>
      <c r="G161" s="11">
        <f>'Calcs (2)'!L59</f>
        <v>6.1010049020630676E-3</v>
      </c>
      <c r="H161" t="s">
        <v>25</v>
      </c>
    </row>
    <row r="162" spans="1:8" x14ac:dyDescent="0.35">
      <c r="A162" t="s">
        <v>21</v>
      </c>
      <c r="B162" t="s">
        <v>38</v>
      </c>
      <c r="C162" t="s">
        <v>39</v>
      </c>
      <c r="D162" t="s">
        <v>9</v>
      </c>
      <c r="E162">
        <v>2035</v>
      </c>
      <c r="F162" t="s">
        <v>78</v>
      </c>
      <c r="G162" s="11">
        <f>'Calcs (2)'!L60</f>
        <v>6.1010049020630676E-3</v>
      </c>
      <c r="H162" t="s">
        <v>25</v>
      </c>
    </row>
    <row r="163" spans="1:8" x14ac:dyDescent="0.35">
      <c r="A163" t="s">
        <v>21</v>
      </c>
      <c r="B163" t="s">
        <v>38</v>
      </c>
      <c r="C163" t="s">
        <v>39</v>
      </c>
      <c r="D163" t="s">
        <v>9</v>
      </c>
      <c r="E163">
        <v>2040</v>
      </c>
      <c r="F163" t="s">
        <v>78</v>
      </c>
      <c r="G163" s="12">
        <f>G162</f>
        <v>6.1010049020630676E-3</v>
      </c>
      <c r="H163" t="s">
        <v>25</v>
      </c>
    </row>
    <row r="164" spans="1:8" x14ac:dyDescent="0.35">
      <c r="A164" t="s">
        <v>21</v>
      </c>
      <c r="B164" t="s">
        <v>38</v>
      </c>
      <c r="C164" t="s">
        <v>39</v>
      </c>
      <c r="D164" t="s">
        <v>9</v>
      </c>
      <c r="E164">
        <v>2045</v>
      </c>
      <c r="F164" t="s">
        <v>78</v>
      </c>
      <c r="G164" s="12">
        <f>G163</f>
        <v>6.1010049020630676E-3</v>
      </c>
      <c r="H164" t="s">
        <v>25</v>
      </c>
    </row>
    <row r="165" spans="1:8" x14ac:dyDescent="0.35">
      <c r="A165" t="s">
        <v>21</v>
      </c>
      <c r="B165" t="s">
        <v>38</v>
      </c>
      <c r="C165" t="s">
        <v>39</v>
      </c>
      <c r="D165" t="s">
        <v>9</v>
      </c>
      <c r="E165">
        <v>2050</v>
      </c>
      <c r="F165" t="s">
        <v>78</v>
      </c>
      <c r="G165" s="12">
        <f>G164</f>
        <v>6.1010049020630676E-3</v>
      </c>
      <c r="H165" t="s">
        <v>25</v>
      </c>
    </row>
    <row r="166" spans="1:8" x14ac:dyDescent="0.35">
      <c r="A166" t="s">
        <v>21</v>
      </c>
      <c r="B166" t="s">
        <v>38</v>
      </c>
      <c r="C166" t="s">
        <v>39</v>
      </c>
      <c r="D166" t="s">
        <v>9</v>
      </c>
      <c r="E166">
        <v>2015</v>
      </c>
      <c r="F166" t="s">
        <v>20</v>
      </c>
      <c r="G166" s="11">
        <f>'Calcs (2)'!L66</f>
        <v>4.3842414224348053E-4</v>
      </c>
      <c r="H166" t="s">
        <v>25</v>
      </c>
    </row>
    <row r="167" spans="1:8" x14ac:dyDescent="0.35">
      <c r="A167" t="s">
        <v>21</v>
      </c>
      <c r="B167" t="s">
        <v>38</v>
      </c>
      <c r="C167" t="s">
        <v>39</v>
      </c>
      <c r="D167" t="s">
        <v>9</v>
      </c>
      <c r="E167">
        <v>2020</v>
      </c>
      <c r="F167" t="s">
        <v>20</v>
      </c>
      <c r="G167" s="11">
        <f>'Calcs (2)'!L67</f>
        <v>4.3842414224348053E-4</v>
      </c>
      <c r="H167" t="s">
        <v>25</v>
      </c>
    </row>
    <row r="168" spans="1:8" x14ac:dyDescent="0.35">
      <c r="A168" t="s">
        <v>21</v>
      </c>
      <c r="B168" t="s">
        <v>38</v>
      </c>
      <c r="C168" t="s">
        <v>39</v>
      </c>
      <c r="D168" t="s">
        <v>9</v>
      </c>
      <c r="E168">
        <v>2025</v>
      </c>
      <c r="F168" t="s">
        <v>20</v>
      </c>
      <c r="G168" s="11">
        <f>'Calcs (2)'!L68</f>
        <v>4.3842414224348053E-4</v>
      </c>
      <c r="H168" t="s">
        <v>25</v>
      </c>
    </row>
    <row r="169" spans="1:8" x14ac:dyDescent="0.35">
      <c r="A169" t="s">
        <v>21</v>
      </c>
      <c r="B169" t="s">
        <v>38</v>
      </c>
      <c r="C169" t="s">
        <v>39</v>
      </c>
      <c r="D169" t="s">
        <v>9</v>
      </c>
      <c r="E169">
        <v>2030</v>
      </c>
      <c r="F169" t="s">
        <v>20</v>
      </c>
      <c r="G169" s="11">
        <f>'Calcs (2)'!L69</f>
        <v>4.3842414224348053E-4</v>
      </c>
      <c r="H169" t="s">
        <v>25</v>
      </c>
    </row>
    <row r="170" spans="1:8" x14ac:dyDescent="0.35">
      <c r="A170" t="s">
        <v>21</v>
      </c>
      <c r="B170" t="s">
        <v>38</v>
      </c>
      <c r="C170" t="s">
        <v>39</v>
      </c>
      <c r="D170" t="s">
        <v>9</v>
      </c>
      <c r="E170">
        <v>2035</v>
      </c>
      <c r="F170" t="s">
        <v>20</v>
      </c>
      <c r="G170" s="11">
        <f>'Calcs (2)'!L70</f>
        <v>4.3842414224348053E-4</v>
      </c>
      <c r="H170" t="s">
        <v>25</v>
      </c>
    </row>
    <row r="171" spans="1:8" x14ac:dyDescent="0.35">
      <c r="A171" t="s">
        <v>21</v>
      </c>
      <c r="B171" t="s">
        <v>38</v>
      </c>
      <c r="C171" t="s">
        <v>39</v>
      </c>
      <c r="D171" t="s">
        <v>9</v>
      </c>
      <c r="E171">
        <v>2040</v>
      </c>
      <c r="F171" t="s">
        <v>20</v>
      </c>
      <c r="G171" s="12">
        <f>G170</f>
        <v>4.3842414224348053E-4</v>
      </c>
      <c r="H171" t="s">
        <v>25</v>
      </c>
    </row>
    <row r="172" spans="1:8" x14ac:dyDescent="0.35">
      <c r="A172" t="s">
        <v>21</v>
      </c>
      <c r="B172" t="s">
        <v>38</v>
      </c>
      <c r="C172" t="s">
        <v>39</v>
      </c>
      <c r="D172" t="s">
        <v>9</v>
      </c>
      <c r="E172">
        <v>2045</v>
      </c>
      <c r="F172" t="s">
        <v>20</v>
      </c>
      <c r="G172" s="12">
        <f>G171</f>
        <v>4.3842414224348053E-4</v>
      </c>
      <c r="H172" t="s">
        <v>25</v>
      </c>
    </row>
    <row r="173" spans="1:8" x14ac:dyDescent="0.35">
      <c r="A173" t="s">
        <v>21</v>
      </c>
      <c r="B173" t="s">
        <v>38</v>
      </c>
      <c r="C173" t="s">
        <v>39</v>
      </c>
      <c r="D173" t="s">
        <v>9</v>
      </c>
      <c r="E173">
        <v>2050</v>
      </c>
      <c r="F173" t="s">
        <v>20</v>
      </c>
      <c r="G173" s="12">
        <f>G172</f>
        <v>4.3842414224348053E-4</v>
      </c>
      <c r="H173" t="s">
        <v>25</v>
      </c>
    </row>
    <row r="174" spans="1:8" x14ac:dyDescent="0.35">
      <c r="A174" t="s">
        <v>21</v>
      </c>
      <c r="B174" t="s">
        <v>38</v>
      </c>
      <c r="C174" t="s">
        <v>39</v>
      </c>
      <c r="D174" t="s">
        <v>9</v>
      </c>
      <c r="E174">
        <v>2015</v>
      </c>
      <c r="F174" t="s">
        <v>15</v>
      </c>
      <c r="G174" s="11">
        <f>'Calcs (2)'!L61</f>
        <v>1.4597658432705736E-3</v>
      </c>
      <c r="H174" t="s">
        <v>25</v>
      </c>
    </row>
    <row r="175" spans="1:8" x14ac:dyDescent="0.35">
      <c r="A175" t="s">
        <v>21</v>
      </c>
      <c r="B175" t="s">
        <v>38</v>
      </c>
      <c r="C175" t="s">
        <v>39</v>
      </c>
      <c r="D175" t="s">
        <v>9</v>
      </c>
      <c r="E175">
        <v>2020</v>
      </c>
      <c r="F175" t="s">
        <v>15</v>
      </c>
      <c r="G175" s="11">
        <f>'Calcs (2)'!L62</f>
        <v>1.4597658432705736E-3</v>
      </c>
      <c r="H175" t="s">
        <v>25</v>
      </c>
    </row>
    <row r="176" spans="1:8" x14ac:dyDescent="0.35">
      <c r="A176" t="s">
        <v>21</v>
      </c>
      <c r="B176" t="s">
        <v>38</v>
      </c>
      <c r="C176" t="s">
        <v>39</v>
      </c>
      <c r="D176" t="s">
        <v>9</v>
      </c>
      <c r="E176">
        <v>2025</v>
      </c>
      <c r="F176" t="s">
        <v>15</v>
      </c>
      <c r="G176" s="11">
        <f>'Calcs (2)'!L63</f>
        <v>1.4597658432705736E-3</v>
      </c>
      <c r="H176" t="s">
        <v>25</v>
      </c>
    </row>
    <row r="177" spans="1:8" x14ac:dyDescent="0.35">
      <c r="A177" t="s">
        <v>21</v>
      </c>
      <c r="B177" t="s">
        <v>38</v>
      </c>
      <c r="C177" t="s">
        <v>39</v>
      </c>
      <c r="D177" t="s">
        <v>9</v>
      </c>
      <c r="E177">
        <v>2030</v>
      </c>
      <c r="F177" t="s">
        <v>15</v>
      </c>
      <c r="G177" s="11">
        <f>'Calcs (2)'!L64</f>
        <v>1.4597658432705736E-3</v>
      </c>
      <c r="H177" t="s">
        <v>25</v>
      </c>
    </row>
    <row r="178" spans="1:8" x14ac:dyDescent="0.35">
      <c r="A178" t="s">
        <v>21</v>
      </c>
      <c r="B178" t="s">
        <v>38</v>
      </c>
      <c r="C178" t="s">
        <v>39</v>
      </c>
      <c r="D178" t="s">
        <v>9</v>
      </c>
      <c r="E178">
        <v>2035</v>
      </c>
      <c r="F178" t="s">
        <v>15</v>
      </c>
      <c r="G178" s="11">
        <f>'Calcs (2)'!L65</f>
        <v>1.4597658432705736E-3</v>
      </c>
      <c r="H178" t="s">
        <v>25</v>
      </c>
    </row>
    <row r="179" spans="1:8" x14ac:dyDescent="0.35">
      <c r="A179" t="s">
        <v>21</v>
      </c>
      <c r="B179" t="s">
        <v>38</v>
      </c>
      <c r="C179" t="s">
        <v>39</v>
      </c>
      <c r="D179" t="s">
        <v>9</v>
      </c>
      <c r="E179">
        <v>2040</v>
      </c>
      <c r="F179" t="s">
        <v>15</v>
      </c>
      <c r="G179" s="12">
        <f>G178</f>
        <v>1.4597658432705736E-3</v>
      </c>
      <c r="H179" t="s">
        <v>25</v>
      </c>
    </row>
    <row r="180" spans="1:8" x14ac:dyDescent="0.35">
      <c r="A180" t="s">
        <v>21</v>
      </c>
      <c r="B180" t="s">
        <v>38</v>
      </c>
      <c r="C180" t="s">
        <v>39</v>
      </c>
      <c r="D180" t="s">
        <v>9</v>
      </c>
      <c r="E180">
        <v>2045</v>
      </c>
      <c r="F180" t="s">
        <v>15</v>
      </c>
      <c r="G180" s="12">
        <f>G179</f>
        <v>1.4597658432705736E-3</v>
      </c>
      <c r="H180" t="s">
        <v>25</v>
      </c>
    </row>
    <row r="181" spans="1:8" x14ac:dyDescent="0.35">
      <c r="A181" t="s">
        <v>21</v>
      </c>
      <c r="B181" t="s">
        <v>38</v>
      </c>
      <c r="C181" t="s">
        <v>39</v>
      </c>
      <c r="D181" t="s">
        <v>9</v>
      </c>
      <c r="E181">
        <v>2050</v>
      </c>
      <c r="F181" t="s">
        <v>15</v>
      </c>
      <c r="G181" s="12">
        <f>G180</f>
        <v>1.4597658432705736E-3</v>
      </c>
      <c r="H181" t="s">
        <v>25</v>
      </c>
    </row>
    <row r="182" spans="1:8" x14ac:dyDescent="0.35">
      <c r="A182" t="s">
        <v>21</v>
      </c>
      <c r="B182" t="s">
        <v>38</v>
      </c>
      <c r="C182" t="s">
        <v>39</v>
      </c>
      <c r="D182" t="s">
        <v>9</v>
      </c>
      <c r="E182">
        <v>2015</v>
      </c>
      <c r="F182" t="s">
        <v>19</v>
      </c>
      <c r="G182" s="11">
        <f>'Calcs (2)'!L71</f>
        <v>4.3100860630048282E-2</v>
      </c>
      <c r="H182" t="s">
        <v>25</v>
      </c>
    </row>
    <row r="183" spans="1:8" x14ac:dyDescent="0.35">
      <c r="A183" t="s">
        <v>21</v>
      </c>
      <c r="B183" t="s">
        <v>38</v>
      </c>
      <c r="C183" t="s">
        <v>39</v>
      </c>
      <c r="D183" t="s">
        <v>9</v>
      </c>
      <c r="E183">
        <v>2020</v>
      </c>
      <c r="F183" t="s">
        <v>19</v>
      </c>
      <c r="G183" s="11">
        <f>'Calcs (2)'!L72</f>
        <v>4.3100860630048282E-2</v>
      </c>
      <c r="H183" t="s">
        <v>25</v>
      </c>
    </row>
    <row r="184" spans="1:8" x14ac:dyDescent="0.35">
      <c r="A184" t="s">
        <v>21</v>
      </c>
      <c r="B184" t="s">
        <v>38</v>
      </c>
      <c r="C184" t="s">
        <v>39</v>
      </c>
      <c r="D184" t="s">
        <v>9</v>
      </c>
      <c r="E184">
        <v>2025</v>
      </c>
      <c r="F184" t="s">
        <v>19</v>
      </c>
      <c r="G184" s="11">
        <f>'Calcs (2)'!L73</f>
        <v>4.3100860630048282E-2</v>
      </c>
      <c r="H184" t="s">
        <v>25</v>
      </c>
    </row>
    <row r="185" spans="1:8" x14ac:dyDescent="0.35">
      <c r="A185" t="s">
        <v>21</v>
      </c>
      <c r="B185" t="s">
        <v>38</v>
      </c>
      <c r="C185" t="s">
        <v>39</v>
      </c>
      <c r="D185" t="s">
        <v>9</v>
      </c>
      <c r="E185">
        <v>2030</v>
      </c>
      <c r="F185" t="s">
        <v>19</v>
      </c>
      <c r="G185" s="11">
        <f>'Calcs (2)'!L74</f>
        <v>4.3100860630048282E-2</v>
      </c>
      <c r="H185" t="s">
        <v>25</v>
      </c>
    </row>
    <row r="186" spans="1:8" x14ac:dyDescent="0.35">
      <c r="A186" t="s">
        <v>21</v>
      </c>
      <c r="B186" t="s">
        <v>38</v>
      </c>
      <c r="C186" t="s">
        <v>39</v>
      </c>
      <c r="D186" t="s">
        <v>9</v>
      </c>
      <c r="E186">
        <v>2035</v>
      </c>
      <c r="F186" t="s">
        <v>19</v>
      </c>
      <c r="G186" s="11">
        <f>'Calcs (2)'!L75</f>
        <v>4.3100860630048282E-2</v>
      </c>
      <c r="H186" t="s">
        <v>25</v>
      </c>
    </row>
    <row r="187" spans="1:8" x14ac:dyDescent="0.35">
      <c r="A187" t="s">
        <v>21</v>
      </c>
      <c r="B187" t="s">
        <v>38</v>
      </c>
      <c r="C187" t="s">
        <v>39</v>
      </c>
      <c r="D187" t="s">
        <v>9</v>
      </c>
      <c r="E187">
        <v>2040</v>
      </c>
      <c r="F187" t="s">
        <v>19</v>
      </c>
      <c r="G187" s="12">
        <f>G186</f>
        <v>4.3100860630048282E-2</v>
      </c>
      <c r="H187" t="s">
        <v>25</v>
      </c>
    </row>
    <row r="188" spans="1:8" x14ac:dyDescent="0.35">
      <c r="A188" t="s">
        <v>21</v>
      </c>
      <c r="B188" t="s">
        <v>38</v>
      </c>
      <c r="C188" t="s">
        <v>39</v>
      </c>
      <c r="D188" t="s">
        <v>9</v>
      </c>
      <c r="E188">
        <v>2045</v>
      </c>
      <c r="F188" t="s">
        <v>19</v>
      </c>
      <c r="G188" s="12">
        <f>G187</f>
        <v>4.3100860630048282E-2</v>
      </c>
      <c r="H188" t="s">
        <v>25</v>
      </c>
    </row>
    <row r="189" spans="1:8" x14ac:dyDescent="0.35">
      <c r="A189" t="s">
        <v>21</v>
      </c>
      <c r="B189" t="s">
        <v>38</v>
      </c>
      <c r="C189" t="s">
        <v>39</v>
      </c>
      <c r="D189" t="s">
        <v>9</v>
      </c>
      <c r="E189">
        <v>2050</v>
      </c>
      <c r="F189" t="s">
        <v>19</v>
      </c>
      <c r="G189" s="12">
        <f>G188</f>
        <v>4.3100860630048282E-2</v>
      </c>
      <c r="H189" t="s">
        <v>25</v>
      </c>
    </row>
    <row r="190" spans="1:8" x14ac:dyDescent="0.35">
      <c r="A190" t="s">
        <v>21</v>
      </c>
      <c r="B190" t="s">
        <v>38</v>
      </c>
      <c r="C190" t="s">
        <v>39</v>
      </c>
      <c r="D190" t="s">
        <v>9</v>
      </c>
      <c r="E190">
        <v>2015</v>
      </c>
      <c r="F190" t="s">
        <v>27</v>
      </c>
      <c r="G190" s="11">
        <f>'Calcs (2)'!L76</f>
        <v>0.10573178622856208</v>
      </c>
      <c r="H190" t="s">
        <v>25</v>
      </c>
    </row>
    <row r="191" spans="1:8" x14ac:dyDescent="0.35">
      <c r="A191" t="s">
        <v>21</v>
      </c>
      <c r="B191" t="s">
        <v>38</v>
      </c>
      <c r="C191" t="s">
        <v>39</v>
      </c>
      <c r="D191" t="s">
        <v>9</v>
      </c>
      <c r="E191">
        <v>2020</v>
      </c>
      <c r="F191" t="s">
        <v>27</v>
      </c>
      <c r="G191" s="11">
        <f>'Calcs (2)'!L77</f>
        <v>0.10573178622856208</v>
      </c>
      <c r="H191" t="s">
        <v>25</v>
      </c>
    </row>
    <row r="192" spans="1:8" x14ac:dyDescent="0.35">
      <c r="A192" t="s">
        <v>21</v>
      </c>
      <c r="B192" t="s">
        <v>38</v>
      </c>
      <c r="C192" t="s">
        <v>39</v>
      </c>
      <c r="D192" t="s">
        <v>9</v>
      </c>
      <c r="E192">
        <v>2025</v>
      </c>
      <c r="F192" t="s">
        <v>27</v>
      </c>
      <c r="G192" s="11">
        <f>'Calcs (2)'!L78</f>
        <v>0.10573178622856208</v>
      </c>
      <c r="H192" t="s">
        <v>25</v>
      </c>
    </row>
    <row r="193" spans="1:8" x14ac:dyDescent="0.35">
      <c r="A193" t="s">
        <v>21</v>
      </c>
      <c r="B193" t="s">
        <v>38</v>
      </c>
      <c r="C193" t="s">
        <v>39</v>
      </c>
      <c r="D193" t="s">
        <v>9</v>
      </c>
      <c r="E193">
        <v>2030</v>
      </c>
      <c r="F193" t="s">
        <v>27</v>
      </c>
      <c r="G193" s="11">
        <f>'Calcs (2)'!L79</f>
        <v>0.10573178622856208</v>
      </c>
      <c r="H193" t="s">
        <v>25</v>
      </c>
    </row>
    <row r="194" spans="1:8" x14ac:dyDescent="0.35">
      <c r="A194" t="s">
        <v>21</v>
      </c>
      <c r="B194" t="s">
        <v>38</v>
      </c>
      <c r="C194" t="s">
        <v>39</v>
      </c>
      <c r="D194" t="s">
        <v>9</v>
      </c>
      <c r="E194">
        <v>2035</v>
      </c>
      <c r="F194" t="s">
        <v>27</v>
      </c>
      <c r="G194" s="11">
        <f>'Calcs (2)'!L80</f>
        <v>0.10573178622856208</v>
      </c>
      <c r="H194" t="s">
        <v>25</v>
      </c>
    </row>
    <row r="195" spans="1:8" x14ac:dyDescent="0.35">
      <c r="A195" t="s">
        <v>21</v>
      </c>
      <c r="B195" t="s">
        <v>38</v>
      </c>
      <c r="C195" t="s">
        <v>39</v>
      </c>
      <c r="D195" t="s">
        <v>9</v>
      </c>
      <c r="E195">
        <v>2040</v>
      </c>
      <c r="F195" t="s">
        <v>27</v>
      </c>
      <c r="G195" s="12">
        <f>G194</f>
        <v>0.10573178622856208</v>
      </c>
      <c r="H195" t="s">
        <v>25</v>
      </c>
    </row>
    <row r="196" spans="1:8" x14ac:dyDescent="0.35">
      <c r="A196" t="s">
        <v>21</v>
      </c>
      <c r="B196" t="s">
        <v>38</v>
      </c>
      <c r="C196" t="s">
        <v>39</v>
      </c>
      <c r="D196" t="s">
        <v>9</v>
      </c>
      <c r="E196">
        <v>2045</v>
      </c>
      <c r="F196" t="s">
        <v>27</v>
      </c>
      <c r="G196" s="12">
        <f>G195</f>
        <v>0.10573178622856208</v>
      </c>
      <c r="H196" t="s">
        <v>25</v>
      </c>
    </row>
    <row r="197" spans="1:8" x14ac:dyDescent="0.35">
      <c r="A197" t="s">
        <v>21</v>
      </c>
      <c r="B197" t="s">
        <v>38</v>
      </c>
      <c r="C197" t="s">
        <v>39</v>
      </c>
      <c r="D197" t="s">
        <v>9</v>
      </c>
      <c r="E197">
        <v>2050</v>
      </c>
      <c r="F197" t="s">
        <v>27</v>
      </c>
      <c r="G197" s="12">
        <f>G196</f>
        <v>0.10573178622856208</v>
      </c>
      <c r="H197" t="s">
        <v>25</v>
      </c>
    </row>
  </sheetData>
  <autoFilter ref="A5:K89" xr:uid="{934B06F9-3A27-42F7-94CF-D689A759EF9D}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9C4DF-8461-4556-B392-B820447054E3}">
  <dimension ref="A1:AL80"/>
  <sheetViews>
    <sheetView topLeftCell="A43" workbookViewId="0">
      <selection activeCell="J76" sqref="J76"/>
    </sheetView>
  </sheetViews>
  <sheetFormatPr defaultRowHeight="14.5" x14ac:dyDescent="0.35"/>
  <cols>
    <col min="3" max="3" width="11.08984375" bestFit="1" customWidth="1"/>
    <col min="4" max="5" width="12.54296875" bestFit="1" customWidth="1"/>
    <col min="6" max="6" width="16.1796875" customWidth="1"/>
    <col min="7" max="8" width="15.7265625" customWidth="1"/>
    <col min="9" max="16" width="12" customWidth="1"/>
    <col min="17" max="18" width="9.54296875" customWidth="1"/>
    <col min="19" max="20" width="10" customWidth="1"/>
    <col min="21" max="21" width="12.54296875" bestFit="1" customWidth="1"/>
    <col min="22" max="22" width="13.6328125" bestFit="1" customWidth="1"/>
    <col min="23" max="24" width="10.453125" customWidth="1"/>
    <col min="25" max="28" width="14" customWidth="1"/>
    <col min="29" max="29" width="10.453125" customWidth="1"/>
    <col min="30" max="30" width="9.54296875" customWidth="1"/>
    <col min="31" max="32" width="9.6328125" customWidth="1"/>
    <col min="33" max="33" width="10.90625" customWidth="1"/>
    <col min="34" max="42" width="7.36328125" customWidth="1"/>
  </cols>
  <sheetData>
    <row r="1" spans="1:38" s="6" customFormat="1" x14ac:dyDescent="0.35">
      <c r="A1" s="6" t="s">
        <v>63</v>
      </c>
    </row>
    <row r="3" spans="1:38" x14ac:dyDescent="0.35">
      <c r="A3" t="s">
        <v>29</v>
      </c>
      <c r="M3" s="1"/>
      <c r="N3" s="1"/>
    </row>
    <row r="4" spans="1:38" x14ac:dyDescent="0.35">
      <c r="A4" t="s">
        <v>30</v>
      </c>
      <c r="D4" t="s">
        <v>8</v>
      </c>
      <c r="J4" t="s">
        <v>16</v>
      </c>
      <c r="P4" t="s">
        <v>17</v>
      </c>
      <c r="V4" t="s">
        <v>20</v>
      </c>
      <c r="AB4" t="s">
        <v>18</v>
      </c>
      <c r="AH4" t="s">
        <v>27</v>
      </c>
    </row>
    <row r="5" spans="1:38" x14ac:dyDescent="0.35">
      <c r="A5" t="s">
        <v>31</v>
      </c>
      <c r="D5">
        <v>2016</v>
      </c>
      <c r="E5">
        <v>2023</v>
      </c>
      <c r="F5">
        <v>2026</v>
      </c>
      <c r="G5">
        <v>2032</v>
      </c>
      <c r="J5">
        <v>2016</v>
      </c>
      <c r="K5">
        <v>2023</v>
      </c>
      <c r="L5">
        <v>2026</v>
      </c>
      <c r="M5">
        <v>2032</v>
      </c>
      <c r="P5">
        <v>2016</v>
      </c>
      <c r="Q5">
        <v>2023</v>
      </c>
      <c r="R5">
        <v>2026</v>
      </c>
      <c r="S5">
        <v>2032</v>
      </c>
      <c r="V5">
        <v>2016</v>
      </c>
      <c r="W5">
        <v>2023</v>
      </c>
      <c r="X5">
        <v>2026</v>
      </c>
      <c r="Y5">
        <v>2032</v>
      </c>
      <c r="AB5">
        <v>2016</v>
      </c>
      <c r="AC5">
        <v>2023</v>
      </c>
      <c r="AD5">
        <v>2026</v>
      </c>
      <c r="AE5">
        <v>2032</v>
      </c>
      <c r="AH5">
        <v>2016</v>
      </c>
      <c r="AI5">
        <v>2023</v>
      </c>
      <c r="AJ5">
        <v>2026</v>
      </c>
      <c r="AK5">
        <v>2032</v>
      </c>
    </row>
    <row r="6" spans="1:38" x14ac:dyDescent="0.35">
      <c r="A6" t="s">
        <v>54</v>
      </c>
      <c r="D6" s="5">
        <v>132589.29824447699</v>
      </c>
      <c r="E6" s="5">
        <v>152058.86454979295</v>
      </c>
      <c r="F6" s="5">
        <v>158429.36703469101</v>
      </c>
      <c r="G6" s="5">
        <v>172103.66922454804</v>
      </c>
      <c r="H6" s="5"/>
      <c r="J6" s="5">
        <v>16017.544510516183</v>
      </c>
      <c r="K6" s="5">
        <v>18528.130236056986</v>
      </c>
      <c r="L6" s="5">
        <v>19357.595008072491</v>
      </c>
      <c r="M6" s="5">
        <v>21135.097440393194</v>
      </c>
      <c r="N6" s="5"/>
      <c r="P6" s="5">
        <v>9137.8722085864683</v>
      </c>
      <c r="Q6" s="5">
        <v>9224.1480315317403</v>
      </c>
      <c r="R6" s="5">
        <v>9374.7198915007411</v>
      </c>
      <c r="S6" s="5">
        <v>9718.6633457057396</v>
      </c>
      <c r="T6" s="5"/>
      <c r="V6" s="5">
        <v>10449.507739554001</v>
      </c>
      <c r="W6" s="5">
        <v>10508.180863134501</v>
      </c>
      <c r="X6" s="5">
        <v>10672.349737173497</v>
      </c>
      <c r="Y6" s="5">
        <v>11047.593124114503</v>
      </c>
      <c r="Z6" s="5"/>
      <c r="AB6" s="5">
        <v>56764.294480916418</v>
      </c>
      <c r="AC6" s="5">
        <v>60616.4331671373</v>
      </c>
      <c r="AD6" s="5">
        <v>62380.275332744284</v>
      </c>
      <c r="AE6" s="5">
        <v>66144.970755227303</v>
      </c>
      <c r="AF6" s="5"/>
      <c r="AH6" s="5">
        <v>505323.96852880897</v>
      </c>
      <c r="AI6" s="5">
        <v>537577.7932080396</v>
      </c>
      <c r="AJ6" s="5">
        <v>554024.11056758964</v>
      </c>
      <c r="AK6" s="5">
        <v>589250.45922949957</v>
      </c>
    </row>
    <row r="8" spans="1:38" s="6" customFormat="1" x14ac:dyDescent="0.35">
      <c r="A8" s="6" t="s">
        <v>64</v>
      </c>
    </row>
    <row r="10" spans="1:38" x14ac:dyDescent="0.35">
      <c r="A10" t="s">
        <v>32</v>
      </c>
    </row>
    <row r="11" spans="1:38" x14ac:dyDescent="0.35">
      <c r="D11" t="s">
        <v>8</v>
      </c>
      <c r="E11" t="s">
        <v>16</v>
      </c>
      <c r="F11" t="s">
        <v>17</v>
      </c>
      <c r="G11" t="s">
        <v>20</v>
      </c>
      <c r="H11" t="s">
        <v>18</v>
      </c>
      <c r="I11" t="s">
        <v>27</v>
      </c>
    </row>
    <row r="12" spans="1:38" x14ac:dyDescent="0.35">
      <c r="D12">
        <v>2015</v>
      </c>
      <c r="E12">
        <v>2015</v>
      </c>
      <c r="F12">
        <v>2015</v>
      </c>
      <c r="G12">
        <v>2015</v>
      </c>
      <c r="H12">
        <v>2015</v>
      </c>
      <c r="I12">
        <v>2015</v>
      </c>
    </row>
    <row r="13" spans="1:38" x14ac:dyDescent="0.35">
      <c r="A13" t="s">
        <v>54</v>
      </c>
      <c r="D13" s="5">
        <f>-(E6-D6)/7+D6</f>
        <v>129807.93162943186</v>
      </c>
      <c r="E13" s="5">
        <f>-(K6-J6)/7+J6</f>
        <v>15658.889406867498</v>
      </c>
      <c r="F13" s="5">
        <f>-(Q6-P6)/7+P6</f>
        <v>9125.5470910228578</v>
      </c>
      <c r="G13" s="5">
        <f>-(W6-V6)/7+V6</f>
        <v>10441.125864756787</v>
      </c>
      <c r="H13" s="5">
        <f>-(AC6-AB6)/7+AB6</f>
        <v>56213.988954313434</v>
      </c>
      <c r="I13" s="5">
        <f>-(AI6-AH6)/7+AH6</f>
        <v>500716.27928891889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5" spans="1:38" s="6" customFormat="1" x14ac:dyDescent="0.35">
      <c r="A15" s="6" t="s">
        <v>33</v>
      </c>
    </row>
    <row r="17" spans="1:38" x14ac:dyDescent="0.35">
      <c r="D17" t="s">
        <v>8</v>
      </c>
      <c r="E17" t="s">
        <v>16</v>
      </c>
      <c r="F17" t="s">
        <v>17</v>
      </c>
      <c r="G17" t="s">
        <v>20</v>
      </c>
      <c r="H17" t="s">
        <v>18</v>
      </c>
      <c r="I17" t="s">
        <v>27</v>
      </c>
    </row>
    <row r="18" spans="1:38" x14ac:dyDescent="0.35">
      <c r="D18">
        <v>2015</v>
      </c>
      <c r="E18">
        <v>2015</v>
      </c>
      <c r="F18">
        <v>2015</v>
      </c>
      <c r="G18">
        <v>2015</v>
      </c>
      <c r="H18">
        <v>2015</v>
      </c>
      <c r="I18">
        <v>2015</v>
      </c>
    </row>
    <row r="19" spans="1:38" x14ac:dyDescent="0.35">
      <c r="A19" t="s">
        <v>54</v>
      </c>
      <c r="D19" s="7">
        <f>D13*0.000000907185</f>
        <v>0.11775980845524614</v>
      </c>
      <c r="E19" s="7">
        <f t="shared" ref="E19:I19" si="0">E13*0.000000907185</f>
        <v>1.4205509586569092E-2</v>
      </c>
      <c r="F19" s="7">
        <f t="shared" si="0"/>
        <v>8.2785594377695719E-3</v>
      </c>
      <c r="G19" s="7">
        <f t="shared" si="0"/>
        <v>9.4720327676193847E-3</v>
      </c>
      <c r="H19" s="7">
        <f t="shared" si="0"/>
        <v>5.0996487569518835E-2</v>
      </c>
      <c r="I19" s="7">
        <f t="shared" si="0"/>
        <v>0.45424229782671788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</row>
    <row r="20" spans="1:38" x14ac:dyDescent="0.35"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x14ac:dyDescent="0.35"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x14ac:dyDescent="0.35">
      <c r="A22" s="6" t="s">
        <v>60</v>
      </c>
      <c r="B22" s="6"/>
      <c r="C22" s="6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4" spans="1:38" x14ac:dyDescent="0.35">
      <c r="A24" t="s">
        <v>10</v>
      </c>
      <c r="D24" t="s">
        <v>0</v>
      </c>
      <c r="E24" t="s">
        <v>11</v>
      </c>
      <c r="F24" t="s">
        <v>12</v>
      </c>
      <c r="G24">
        <v>2015</v>
      </c>
    </row>
    <row r="25" spans="1:38" x14ac:dyDescent="0.35">
      <c r="A25" t="s">
        <v>37</v>
      </c>
      <c r="D25" t="s">
        <v>14</v>
      </c>
      <c r="E25" t="s">
        <v>53</v>
      </c>
      <c r="F25" t="s">
        <v>28</v>
      </c>
      <c r="G25">
        <v>0</v>
      </c>
    </row>
    <row r="26" spans="1:38" x14ac:dyDescent="0.35">
      <c r="A26" t="s">
        <v>37</v>
      </c>
      <c r="D26" t="s">
        <v>14</v>
      </c>
      <c r="E26" t="s">
        <v>53</v>
      </c>
      <c r="F26" t="s">
        <v>57</v>
      </c>
      <c r="G26">
        <v>0</v>
      </c>
    </row>
    <row r="27" spans="1:38" x14ac:dyDescent="0.35">
      <c r="A27" t="s">
        <v>37</v>
      </c>
      <c r="D27" t="s">
        <v>14</v>
      </c>
      <c r="E27" t="s">
        <v>53</v>
      </c>
      <c r="F27" t="s">
        <v>7</v>
      </c>
      <c r="G27">
        <v>2.5499999999999998</v>
      </c>
    </row>
    <row r="28" spans="1:38" x14ac:dyDescent="0.35">
      <c r="A28" t="s">
        <v>37</v>
      </c>
      <c r="D28" t="s">
        <v>14</v>
      </c>
      <c r="E28" t="s">
        <v>39</v>
      </c>
      <c r="F28" t="s">
        <v>28</v>
      </c>
      <c r="G28">
        <v>0</v>
      </c>
    </row>
    <row r="29" spans="1:38" x14ac:dyDescent="0.35">
      <c r="A29" t="s">
        <v>37</v>
      </c>
      <c r="D29" t="s">
        <v>14</v>
      </c>
      <c r="E29" t="s">
        <v>39</v>
      </c>
      <c r="F29" t="s">
        <v>57</v>
      </c>
      <c r="G29">
        <v>0</v>
      </c>
    </row>
    <row r="30" spans="1:38" x14ac:dyDescent="0.35">
      <c r="A30" t="s">
        <v>37</v>
      </c>
      <c r="D30" t="s">
        <v>14</v>
      </c>
      <c r="E30" t="s">
        <v>39</v>
      </c>
      <c r="F30" t="s">
        <v>7</v>
      </c>
      <c r="G30">
        <v>0.66800000000000004</v>
      </c>
    </row>
    <row r="32" spans="1:38" x14ac:dyDescent="0.35">
      <c r="F32" t="s">
        <v>61</v>
      </c>
      <c r="G32">
        <f>G27</f>
        <v>2.5499999999999998</v>
      </c>
    </row>
    <row r="33" spans="1:18" x14ac:dyDescent="0.35">
      <c r="F33" t="s">
        <v>49</v>
      </c>
      <c r="G33">
        <f>G30</f>
        <v>0.66800000000000004</v>
      </c>
    </row>
    <row r="34" spans="1:18" x14ac:dyDescent="0.35">
      <c r="F34" t="s">
        <v>14</v>
      </c>
      <c r="G34">
        <f>G33+G32</f>
        <v>3.218</v>
      </c>
    </row>
    <row r="37" spans="1:18" x14ac:dyDescent="0.35">
      <c r="A37" s="6" t="s">
        <v>68</v>
      </c>
    </row>
    <row r="38" spans="1:18" x14ac:dyDescent="0.35">
      <c r="D38" t="s">
        <v>8</v>
      </c>
      <c r="E38" t="s">
        <v>16</v>
      </c>
      <c r="F38" t="s">
        <v>17</v>
      </c>
      <c r="G38" t="s">
        <v>20</v>
      </c>
      <c r="H38" t="s">
        <v>18</v>
      </c>
      <c r="I38" t="s">
        <v>27</v>
      </c>
    </row>
    <row r="39" spans="1:18" x14ac:dyDescent="0.35">
      <c r="D39">
        <v>2015</v>
      </c>
      <c r="E39">
        <v>2015</v>
      </c>
      <c r="F39">
        <v>2015</v>
      </c>
      <c r="G39">
        <v>2015</v>
      </c>
      <c r="H39">
        <v>2015</v>
      </c>
      <c r="I39">
        <v>2015</v>
      </c>
    </row>
    <row r="40" spans="1:18" x14ac:dyDescent="0.35">
      <c r="B40" t="s">
        <v>69</v>
      </c>
      <c r="C40" t="s">
        <v>54</v>
      </c>
      <c r="D40" s="7">
        <f>D19/$G$34</f>
        <v>3.6594098339106942E-2</v>
      </c>
      <c r="E40" s="7">
        <f t="shared" ref="E40:I40" si="1">E19/$G$34</f>
        <v>4.4143907975665291E-3</v>
      </c>
      <c r="F40" s="7">
        <f t="shared" si="1"/>
        <v>2.5725790670508304E-3</v>
      </c>
      <c r="G40" s="7">
        <f t="shared" si="1"/>
        <v>2.9434533149842713E-3</v>
      </c>
      <c r="H40" s="7">
        <f t="shared" si="1"/>
        <v>1.5847261519427853E-2</v>
      </c>
      <c r="I40" s="7">
        <f t="shared" si="1"/>
        <v>0.14115671156827778</v>
      </c>
    </row>
    <row r="41" spans="1:18" x14ac:dyDescent="0.35">
      <c r="B41" t="s">
        <v>70</v>
      </c>
      <c r="C41" t="s">
        <v>71</v>
      </c>
      <c r="D41">
        <f>GCAMResult_preScale!H21/$G$34</f>
        <v>0</v>
      </c>
      <c r="E41">
        <f>P51/G34</f>
        <v>9.3573246510751159E-3</v>
      </c>
      <c r="F41">
        <f>P52/G34</f>
        <v>8.0015265282568039E-4</v>
      </c>
      <c r="G41" s="9">
        <f>Q53/G34</f>
        <v>9.1468406307777231E-4</v>
      </c>
      <c r="H41">
        <f>P54/G34</f>
        <v>7.8508822923881016E-3</v>
      </c>
      <c r="I41">
        <f>P55/G34</f>
        <v>4.3908932083011928E-2</v>
      </c>
    </row>
    <row r="42" spans="1:18" x14ac:dyDescent="0.35">
      <c r="D42" s="13" t="e">
        <f>D40/D41</f>
        <v>#DIV/0!</v>
      </c>
      <c r="E42" s="13">
        <f t="shared" ref="E42:I42" si="2">E40/E41</f>
        <v>0.4717577899853389</v>
      </c>
      <c r="F42" s="13">
        <f t="shared" si="2"/>
        <v>3.2151103392158435</v>
      </c>
      <c r="G42" s="13">
        <f t="shared" si="2"/>
        <v>3.218</v>
      </c>
      <c r="H42" s="13">
        <f>H40/H41</f>
        <v>2.0185325584097367</v>
      </c>
      <c r="I42" s="13">
        <f t="shared" si="2"/>
        <v>3.2147607530379987</v>
      </c>
    </row>
    <row r="45" spans="1:18" x14ac:dyDescent="0.35">
      <c r="A45" s="6" t="s">
        <v>62</v>
      </c>
      <c r="B45" s="6"/>
      <c r="C45" s="6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5"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5">
      <c r="O47" t="s">
        <v>47</v>
      </c>
      <c r="Q47" t="s">
        <v>48</v>
      </c>
    </row>
    <row r="48" spans="1:18" x14ac:dyDescent="0.35">
      <c r="Q48" t="s">
        <v>65</v>
      </c>
    </row>
    <row r="49" spans="6:18" x14ac:dyDescent="0.35">
      <c r="G49" t="s">
        <v>34</v>
      </c>
      <c r="K49" t="s">
        <v>51</v>
      </c>
      <c r="P49" t="s">
        <v>58</v>
      </c>
      <c r="Q49" t="s">
        <v>59</v>
      </c>
      <c r="R49" t="s">
        <v>50</v>
      </c>
    </row>
    <row r="50" spans="6:18" x14ac:dyDescent="0.35">
      <c r="I50" t="s">
        <v>55</v>
      </c>
      <c r="J50" t="s">
        <v>56</v>
      </c>
      <c r="K50" t="s">
        <v>66</v>
      </c>
      <c r="L50" t="s">
        <v>67</v>
      </c>
      <c r="O50" t="s">
        <v>8</v>
      </c>
      <c r="P50">
        <f>GCAMResult_preScale!G28</f>
        <v>5.6587942821628344E-2</v>
      </c>
      <c r="Q50" s="9">
        <f>D19/G34</f>
        <v>3.6594098339106942E-2</v>
      </c>
      <c r="R50" s="2">
        <f t="shared" ref="R50:R55" si="3">Q50/P50</f>
        <v>0.64667659777729891</v>
      </c>
    </row>
    <row r="51" spans="6:18" x14ac:dyDescent="0.35">
      <c r="F51" t="s">
        <v>8</v>
      </c>
      <c r="G51">
        <v>2015</v>
      </c>
      <c r="I51" s="2">
        <f>GCAMResult_preScale!H28</f>
        <v>4.5490196078431376E-2</v>
      </c>
      <c r="J51" s="2">
        <f>GCAMResult_preScale!I28</f>
        <v>9.8952095808383239E-2</v>
      </c>
      <c r="K51">
        <f>I51*$R$50</f>
        <v>2.9417445232222228E-2</v>
      </c>
      <c r="L51">
        <f t="shared" ref="K51:L55" si="4">J51*$R$50</f>
        <v>6.3990004660298597E-2</v>
      </c>
      <c r="O51" t="s">
        <v>16</v>
      </c>
      <c r="P51">
        <f>GCAMResult_preScale!G29</f>
        <v>3.0111870727159724E-2</v>
      </c>
      <c r="Q51" s="10">
        <f>E19/G34</f>
        <v>4.4143907975665291E-3</v>
      </c>
      <c r="R51" s="2">
        <f t="shared" si="3"/>
        <v>0.14659968613590393</v>
      </c>
    </row>
    <row r="52" spans="6:18" x14ac:dyDescent="0.35">
      <c r="G52">
        <v>2020</v>
      </c>
      <c r="I52" s="4">
        <f>I51</f>
        <v>4.5490196078431376E-2</v>
      </c>
      <c r="J52" s="4">
        <f t="shared" ref="J52:J55" si="5">J51</f>
        <v>9.8952095808383239E-2</v>
      </c>
      <c r="K52">
        <f t="shared" si="4"/>
        <v>2.9417445232222228E-2</v>
      </c>
      <c r="L52">
        <f t="shared" si="4"/>
        <v>6.3990004660298597E-2</v>
      </c>
      <c r="O52" t="s">
        <v>15</v>
      </c>
      <c r="P52">
        <f>GCAMResult_preScale!G30</f>
        <v>2.5748912367930393E-3</v>
      </c>
      <c r="Q52" s="10">
        <f>F19/G34</f>
        <v>2.5725790670508304E-3</v>
      </c>
      <c r="R52" s="2">
        <f t="shared" si="3"/>
        <v>0.99910203207453196</v>
      </c>
    </row>
    <row r="53" spans="6:18" x14ac:dyDescent="0.35">
      <c r="G53">
        <v>2025</v>
      </c>
      <c r="I53" s="4">
        <f t="shared" ref="I53:I55" si="6">I52</f>
        <v>4.5490196078431376E-2</v>
      </c>
      <c r="J53" s="4">
        <f t="shared" si="5"/>
        <v>9.8952095808383239E-2</v>
      </c>
      <c r="K53">
        <f t="shared" si="4"/>
        <v>2.9417445232222228E-2</v>
      </c>
      <c r="L53">
        <f t="shared" si="4"/>
        <v>6.3990004660298597E-2</v>
      </c>
      <c r="O53" t="s">
        <v>20</v>
      </c>
      <c r="P53">
        <f>GCAMResult_preScale!G31</f>
        <v>3.3436917339962711E-3</v>
      </c>
      <c r="Q53" s="10">
        <f>G19/G34</f>
        <v>2.9434533149842713E-3</v>
      </c>
      <c r="R53" s="2">
        <f t="shared" si="3"/>
        <v>0.88030044308730337</v>
      </c>
    </row>
    <row r="54" spans="6:18" x14ac:dyDescent="0.35">
      <c r="G54">
        <v>2030</v>
      </c>
      <c r="I54" s="4">
        <f t="shared" si="6"/>
        <v>4.5490196078431376E-2</v>
      </c>
      <c r="J54" s="4">
        <f t="shared" si="5"/>
        <v>9.8952095808383239E-2</v>
      </c>
      <c r="K54">
        <f t="shared" si="4"/>
        <v>2.9417445232222228E-2</v>
      </c>
      <c r="L54">
        <f t="shared" si="4"/>
        <v>6.3990004660298597E-2</v>
      </c>
      <c r="O54" t="s">
        <v>19</v>
      </c>
      <c r="P54">
        <f>GCAMResult_preScale!G32</f>
        <v>2.5264139216904912E-2</v>
      </c>
      <c r="Q54" s="10">
        <f>H19/G34</f>
        <v>1.5847261519427853E-2</v>
      </c>
      <c r="R54" s="2">
        <f t="shared" si="3"/>
        <v>0.62726306973577894</v>
      </c>
    </row>
    <row r="55" spans="6:18" x14ac:dyDescent="0.35">
      <c r="G55">
        <v>2035</v>
      </c>
      <c r="I55" s="4">
        <f t="shared" si="6"/>
        <v>4.5490196078431376E-2</v>
      </c>
      <c r="J55" s="4">
        <f t="shared" si="5"/>
        <v>9.8952095808383239E-2</v>
      </c>
      <c r="K55">
        <f t="shared" si="4"/>
        <v>2.9417445232222228E-2</v>
      </c>
      <c r="L55">
        <f t="shared" si="4"/>
        <v>6.3990004660298597E-2</v>
      </c>
      <c r="O55" t="s">
        <v>27</v>
      </c>
      <c r="P55">
        <f>GCAMResult_preScale!G33</f>
        <v>0.14129894344313237</v>
      </c>
      <c r="Q55" s="10">
        <f>I19/G34</f>
        <v>0.14115671156827778</v>
      </c>
      <c r="R55" s="2">
        <f t="shared" si="3"/>
        <v>0.9989933974636418</v>
      </c>
    </row>
    <row r="56" spans="6:18" x14ac:dyDescent="0.35">
      <c r="F56" t="s">
        <v>16</v>
      </c>
      <c r="G56">
        <v>2015</v>
      </c>
      <c r="I56" s="10">
        <f>GCAMResult_preScale!H29</f>
        <v>2.7098039215686275E-2</v>
      </c>
      <c r="J56" s="10">
        <f>GCAMResult_preScale!I29</f>
        <v>4.1616766467065865E-2</v>
      </c>
      <c r="K56">
        <f t="shared" ref="K56:L60" si="7">I56*$R$51</f>
        <v>3.9725640439180242E-3</v>
      </c>
      <c r="L56">
        <f t="shared" si="7"/>
        <v>6.1010049020630676E-3</v>
      </c>
      <c r="O56" t="s">
        <v>45</v>
      </c>
      <c r="P56">
        <f>GCAMResult_preScale!G34</f>
        <v>5.4790419161676648E-3</v>
      </c>
    </row>
    <row r="57" spans="6:18" x14ac:dyDescent="0.35">
      <c r="G57">
        <v>2020</v>
      </c>
      <c r="I57" s="4">
        <f t="shared" ref="I57:I60" si="8">I56</f>
        <v>2.7098039215686275E-2</v>
      </c>
      <c r="J57" s="4">
        <f t="shared" ref="J57:J60" si="9">J56</f>
        <v>4.1616766467065865E-2</v>
      </c>
      <c r="K57">
        <f t="shared" si="7"/>
        <v>3.9725640439180242E-3</v>
      </c>
      <c r="L57">
        <f t="shared" si="7"/>
        <v>6.1010049020630676E-3</v>
      </c>
    </row>
    <row r="58" spans="6:18" x14ac:dyDescent="0.35">
      <c r="G58">
        <v>2025</v>
      </c>
      <c r="I58" s="4">
        <f t="shared" si="8"/>
        <v>2.7098039215686275E-2</v>
      </c>
      <c r="J58" s="4">
        <f t="shared" si="9"/>
        <v>4.1616766467065865E-2</v>
      </c>
      <c r="K58">
        <f t="shared" si="7"/>
        <v>3.9725640439180242E-3</v>
      </c>
      <c r="L58">
        <f t="shared" si="7"/>
        <v>6.1010049020630676E-3</v>
      </c>
    </row>
    <row r="59" spans="6:18" x14ac:dyDescent="0.35">
      <c r="G59">
        <v>2030</v>
      </c>
      <c r="I59" s="4">
        <f t="shared" si="8"/>
        <v>2.7098039215686275E-2</v>
      </c>
      <c r="J59" s="4">
        <f t="shared" si="9"/>
        <v>4.1616766467065865E-2</v>
      </c>
      <c r="K59">
        <f t="shared" si="7"/>
        <v>3.9725640439180242E-3</v>
      </c>
      <c r="L59">
        <f t="shared" si="7"/>
        <v>6.1010049020630676E-3</v>
      </c>
    </row>
    <row r="60" spans="6:18" x14ac:dyDescent="0.35">
      <c r="G60">
        <v>2035</v>
      </c>
      <c r="I60" s="4">
        <f t="shared" si="8"/>
        <v>2.7098039215686275E-2</v>
      </c>
      <c r="J60" s="4">
        <f t="shared" si="9"/>
        <v>4.1616766467065865E-2</v>
      </c>
      <c r="K60">
        <f t="shared" si="7"/>
        <v>3.9725640439180242E-3</v>
      </c>
      <c r="L60">
        <f t="shared" si="7"/>
        <v>6.1010049020630676E-3</v>
      </c>
    </row>
    <row r="61" spans="6:18" x14ac:dyDescent="0.35">
      <c r="F61" t="s">
        <v>15</v>
      </c>
      <c r="G61">
        <v>2015</v>
      </c>
      <c r="I61" s="3">
        <f>GCAMResult_preScale!H30</f>
        <v>2.8666666666666667E-3</v>
      </c>
      <c r="J61" s="3">
        <f>GCAMResult_preScale!I30</f>
        <v>1.4610778443113772E-3</v>
      </c>
      <c r="K61">
        <f t="shared" ref="K61:L65" si="10">I61*$R$52</f>
        <v>2.8640924919469918E-3</v>
      </c>
      <c r="L61">
        <f t="shared" si="10"/>
        <v>1.4597658432705736E-3</v>
      </c>
    </row>
    <row r="62" spans="6:18" x14ac:dyDescent="0.35">
      <c r="G62">
        <v>2020</v>
      </c>
      <c r="I62" s="4">
        <f t="shared" ref="I62:I65" si="11">I61</f>
        <v>2.8666666666666667E-3</v>
      </c>
      <c r="J62" s="4">
        <f t="shared" ref="J62:J65" si="12">J61</f>
        <v>1.4610778443113772E-3</v>
      </c>
      <c r="K62">
        <f t="shared" si="10"/>
        <v>2.8640924919469918E-3</v>
      </c>
      <c r="L62">
        <f t="shared" si="10"/>
        <v>1.4597658432705736E-3</v>
      </c>
    </row>
    <row r="63" spans="6:18" x14ac:dyDescent="0.35">
      <c r="G63">
        <v>2025</v>
      </c>
      <c r="I63" s="4">
        <f t="shared" si="11"/>
        <v>2.8666666666666667E-3</v>
      </c>
      <c r="J63" s="4">
        <f t="shared" si="12"/>
        <v>1.4610778443113772E-3</v>
      </c>
      <c r="K63">
        <f t="shared" si="10"/>
        <v>2.8640924919469918E-3</v>
      </c>
      <c r="L63">
        <f t="shared" si="10"/>
        <v>1.4597658432705736E-3</v>
      </c>
    </row>
    <row r="64" spans="6:18" x14ac:dyDescent="0.35">
      <c r="G64">
        <v>2030</v>
      </c>
      <c r="I64" s="4">
        <f t="shared" si="11"/>
        <v>2.8666666666666667E-3</v>
      </c>
      <c r="J64" s="4">
        <f t="shared" si="12"/>
        <v>1.4610778443113772E-3</v>
      </c>
      <c r="K64">
        <f t="shared" si="10"/>
        <v>2.8640924919469918E-3</v>
      </c>
      <c r="L64">
        <f t="shared" si="10"/>
        <v>1.4597658432705736E-3</v>
      </c>
    </row>
    <row r="65" spans="6:12" x14ac:dyDescent="0.35">
      <c r="G65">
        <v>2035</v>
      </c>
      <c r="I65" s="4">
        <f t="shared" si="11"/>
        <v>2.8666666666666667E-3</v>
      </c>
      <c r="J65" s="4">
        <f t="shared" si="12"/>
        <v>1.4610778443113772E-3</v>
      </c>
      <c r="K65">
        <f t="shared" si="10"/>
        <v>2.8640924919469918E-3</v>
      </c>
      <c r="L65">
        <f t="shared" si="10"/>
        <v>1.4597658432705736E-3</v>
      </c>
    </row>
    <row r="66" spans="6:12" x14ac:dyDescent="0.35">
      <c r="F66" t="s">
        <v>20</v>
      </c>
      <c r="G66">
        <v>2015</v>
      </c>
      <c r="I66" s="3">
        <f>GCAMResult_preScale!H31</f>
        <v>3.7215686274509807E-3</v>
      </c>
      <c r="J66" s="3">
        <f>GCAMResult_preScale!I31</f>
        <v>4.9803921568627454E-4</v>
      </c>
      <c r="K66">
        <f t="shared" ref="K66:L70" si="13">I66*$R$53</f>
        <v>3.2760985117249058E-3</v>
      </c>
      <c r="L66">
        <f t="shared" si="13"/>
        <v>4.3842414224348053E-4</v>
      </c>
    </row>
    <row r="67" spans="6:12" x14ac:dyDescent="0.35">
      <c r="G67">
        <v>2020</v>
      </c>
      <c r="I67" s="4">
        <f t="shared" ref="I67:I70" si="14">I66</f>
        <v>3.7215686274509807E-3</v>
      </c>
      <c r="J67" s="4">
        <f t="shared" ref="J67:J70" si="15">J66</f>
        <v>4.9803921568627454E-4</v>
      </c>
      <c r="K67">
        <f t="shared" si="13"/>
        <v>3.2760985117249058E-3</v>
      </c>
      <c r="L67">
        <f t="shared" si="13"/>
        <v>4.3842414224348053E-4</v>
      </c>
    </row>
    <row r="68" spans="6:12" x14ac:dyDescent="0.35">
      <c r="G68">
        <v>2025</v>
      </c>
      <c r="I68" s="4">
        <f t="shared" si="14"/>
        <v>3.7215686274509807E-3</v>
      </c>
      <c r="J68" s="4">
        <f t="shared" si="15"/>
        <v>4.9803921568627454E-4</v>
      </c>
      <c r="K68">
        <f t="shared" si="13"/>
        <v>3.2760985117249058E-3</v>
      </c>
      <c r="L68">
        <f t="shared" si="13"/>
        <v>4.3842414224348053E-4</v>
      </c>
    </row>
    <row r="69" spans="6:12" x14ac:dyDescent="0.35">
      <c r="G69">
        <v>2030</v>
      </c>
      <c r="I69" s="4">
        <f t="shared" si="14"/>
        <v>3.7215686274509807E-3</v>
      </c>
      <c r="J69" s="4">
        <f t="shared" si="15"/>
        <v>4.9803921568627454E-4</v>
      </c>
      <c r="K69">
        <f t="shared" si="13"/>
        <v>3.2760985117249058E-3</v>
      </c>
      <c r="L69">
        <f t="shared" si="13"/>
        <v>4.3842414224348053E-4</v>
      </c>
    </row>
    <row r="70" spans="6:12" x14ac:dyDescent="0.35">
      <c r="G70">
        <v>2035</v>
      </c>
      <c r="I70" s="4">
        <f t="shared" si="14"/>
        <v>3.7215686274509807E-3</v>
      </c>
      <c r="J70" s="4">
        <f t="shared" si="15"/>
        <v>4.9803921568627454E-4</v>
      </c>
      <c r="K70">
        <f t="shared" si="13"/>
        <v>3.2760985117249058E-3</v>
      </c>
      <c r="L70">
        <f t="shared" si="13"/>
        <v>4.3842414224348053E-4</v>
      </c>
    </row>
    <row r="71" spans="6:12" x14ac:dyDescent="0.35">
      <c r="F71" t="s">
        <v>18</v>
      </c>
      <c r="G71">
        <v>2015</v>
      </c>
      <c r="I71" s="3">
        <f>GCAMResult_preScale!H32</f>
        <v>1.3882352941176472E-2</v>
      </c>
      <c r="J71" s="3">
        <f>GCAMResult_preScale!I32</f>
        <v>6.8712574850299399E-2</v>
      </c>
      <c r="K71">
        <f t="shared" ref="K71:L75" si="16">I71*$R$54</f>
        <v>8.7078873210378743E-3</v>
      </c>
      <c r="L71">
        <f t="shared" si="16"/>
        <v>4.3100860630048282E-2</v>
      </c>
    </row>
    <row r="72" spans="6:12" x14ac:dyDescent="0.35">
      <c r="G72">
        <v>2020</v>
      </c>
      <c r="I72" s="4">
        <f t="shared" ref="I72:I75" si="17">I71</f>
        <v>1.3882352941176472E-2</v>
      </c>
      <c r="J72" s="4">
        <f t="shared" ref="J72:J75" si="18">J71</f>
        <v>6.8712574850299399E-2</v>
      </c>
      <c r="K72">
        <f t="shared" si="16"/>
        <v>8.7078873210378743E-3</v>
      </c>
      <c r="L72">
        <f t="shared" si="16"/>
        <v>4.3100860630048282E-2</v>
      </c>
    </row>
    <row r="73" spans="6:12" x14ac:dyDescent="0.35">
      <c r="G73">
        <v>2025</v>
      </c>
      <c r="I73" s="4">
        <f t="shared" si="17"/>
        <v>1.3882352941176472E-2</v>
      </c>
      <c r="J73" s="4">
        <f t="shared" si="18"/>
        <v>6.8712574850299399E-2</v>
      </c>
      <c r="K73">
        <f t="shared" si="16"/>
        <v>8.7078873210378743E-3</v>
      </c>
      <c r="L73">
        <f t="shared" si="16"/>
        <v>4.3100860630048282E-2</v>
      </c>
    </row>
    <row r="74" spans="6:12" x14ac:dyDescent="0.35">
      <c r="G74">
        <v>2030</v>
      </c>
      <c r="I74" s="4">
        <f t="shared" si="17"/>
        <v>1.3882352941176472E-2</v>
      </c>
      <c r="J74" s="4">
        <f t="shared" si="18"/>
        <v>6.8712574850299399E-2</v>
      </c>
      <c r="K74">
        <f t="shared" si="16"/>
        <v>8.7078873210378743E-3</v>
      </c>
      <c r="L74">
        <f t="shared" si="16"/>
        <v>4.3100860630048282E-2</v>
      </c>
    </row>
    <row r="75" spans="6:12" x14ac:dyDescent="0.35">
      <c r="G75">
        <v>2035</v>
      </c>
      <c r="I75" s="4">
        <f t="shared" si="17"/>
        <v>1.3882352941176472E-2</v>
      </c>
      <c r="J75" s="4">
        <f t="shared" si="18"/>
        <v>6.8712574850299399E-2</v>
      </c>
      <c r="K75">
        <f t="shared" si="16"/>
        <v>8.7078873210378743E-3</v>
      </c>
      <c r="L75">
        <f t="shared" si="16"/>
        <v>4.3100860630048282E-2</v>
      </c>
    </row>
    <row r="76" spans="6:12" x14ac:dyDescent="0.35">
      <c r="F76" t="s">
        <v>27</v>
      </c>
      <c r="G76">
        <v>2015</v>
      </c>
      <c r="I76" s="3">
        <f>GCAMResult_preScale!H33</f>
        <v>0.15058823529411766</v>
      </c>
      <c r="J76" s="3">
        <f>GCAMResult_preScale!I33</f>
        <v>0.10583832335329341</v>
      </c>
      <c r="K76">
        <f t="shared" ref="K76:L80" si="19">I76*$R$55</f>
        <v>0.15043665279452489</v>
      </c>
      <c r="L76">
        <f t="shared" si="19"/>
        <v>0.10573178622856208</v>
      </c>
    </row>
    <row r="77" spans="6:12" x14ac:dyDescent="0.35">
      <c r="G77">
        <v>2020</v>
      </c>
      <c r="I77" s="4">
        <f t="shared" ref="I77:I80" si="20">I76</f>
        <v>0.15058823529411766</v>
      </c>
      <c r="J77" s="4">
        <f t="shared" ref="J77:J80" si="21">J76</f>
        <v>0.10583832335329341</v>
      </c>
      <c r="K77">
        <f t="shared" si="19"/>
        <v>0.15043665279452489</v>
      </c>
      <c r="L77">
        <f t="shared" si="19"/>
        <v>0.10573178622856208</v>
      </c>
    </row>
    <row r="78" spans="6:12" x14ac:dyDescent="0.35">
      <c r="G78">
        <v>2025</v>
      </c>
      <c r="I78" s="4">
        <f t="shared" si="20"/>
        <v>0.15058823529411766</v>
      </c>
      <c r="J78" s="4">
        <f t="shared" si="21"/>
        <v>0.10583832335329341</v>
      </c>
      <c r="K78">
        <f t="shared" si="19"/>
        <v>0.15043665279452489</v>
      </c>
      <c r="L78">
        <f t="shared" si="19"/>
        <v>0.10573178622856208</v>
      </c>
    </row>
    <row r="79" spans="6:12" x14ac:dyDescent="0.35">
      <c r="G79">
        <v>2030</v>
      </c>
      <c r="I79" s="4">
        <f t="shared" si="20"/>
        <v>0.15058823529411766</v>
      </c>
      <c r="J79" s="4">
        <f t="shared" si="21"/>
        <v>0.10583832335329341</v>
      </c>
      <c r="K79">
        <f t="shared" si="19"/>
        <v>0.15043665279452489</v>
      </c>
      <c r="L79">
        <f t="shared" si="19"/>
        <v>0.10573178622856208</v>
      </c>
    </row>
    <row r="80" spans="6:12" x14ac:dyDescent="0.35">
      <c r="G80">
        <v>2035</v>
      </c>
      <c r="I80" s="4">
        <f t="shared" si="20"/>
        <v>0.15058823529411766</v>
      </c>
      <c r="J80" s="4">
        <f t="shared" si="21"/>
        <v>0.10583832335329341</v>
      </c>
      <c r="K80">
        <f t="shared" si="19"/>
        <v>0.15043665279452489</v>
      </c>
      <c r="L80">
        <f t="shared" si="19"/>
        <v>0.10573178622856208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0657C-A1AF-4C01-ACF0-925D23D26450}">
  <dimension ref="A1:V34"/>
  <sheetViews>
    <sheetView workbookViewId="0">
      <selection activeCell="D28" sqref="D28"/>
    </sheetView>
  </sheetViews>
  <sheetFormatPr defaultRowHeight="14.5" x14ac:dyDescent="0.35"/>
  <cols>
    <col min="1" max="1" width="28.90625" customWidth="1"/>
    <col min="3" max="3" width="15.6328125" customWidth="1"/>
    <col min="4" max="4" width="18" customWidth="1"/>
  </cols>
  <sheetData>
    <row r="1" spans="1:22" x14ac:dyDescent="0.35">
      <c r="A1" t="s">
        <v>10</v>
      </c>
      <c r="B1" t="s">
        <v>0</v>
      </c>
      <c r="C1" t="s">
        <v>35</v>
      </c>
      <c r="D1" t="s">
        <v>11</v>
      </c>
      <c r="E1" t="s">
        <v>11</v>
      </c>
      <c r="F1" t="s">
        <v>12</v>
      </c>
      <c r="G1" t="s">
        <v>36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13</v>
      </c>
    </row>
    <row r="2" spans="1:22" x14ac:dyDescent="0.35">
      <c r="A2" s="14" t="s">
        <v>72</v>
      </c>
      <c r="B2" s="14" t="s">
        <v>14</v>
      </c>
      <c r="C2" s="14" t="s">
        <v>38</v>
      </c>
      <c r="D2" s="14" t="s">
        <v>39</v>
      </c>
      <c r="E2" s="14" t="s">
        <v>7</v>
      </c>
      <c r="F2" s="14" t="s">
        <v>40</v>
      </c>
      <c r="G2" s="14" t="s">
        <v>41</v>
      </c>
      <c r="H2" s="14">
        <v>9.01E-4</v>
      </c>
      <c r="I2" s="14">
        <v>9.5200000000000005E-4</v>
      </c>
      <c r="J2" s="14">
        <v>9.3099999999999997E-4</v>
      </c>
      <c r="K2" s="14">
        <v>9.2000000000000003E-4</v>
      </c>
      <c r="L2" s="14">
        <v>9.1399999999999999E-4</v>
      </c>
      <c r="M2" s="14">
        <v>9.6900000000000003E-4</v>
      </c>
      <c r="N2" s="14">
        <v>1.0200000000000001E-3</v>
      </c>
      <c r="O2" s="14">
        <v>1.07E-3</v>
      </c>
      <c r="P2" s="14" t="s">
        <v>42</v>
      </c>
    </row>
    <row r="3" spans="1:22" x14ac:dyDescent="0.35">
      <c r="A3" s="14" t="s">
        <v>72</v>
      </c>
      <c r="B3" s="14" t="s">
        <v>14</v>
      </c>
      <c r="C3" s="14" t="s">
        <v>38</v>
      </c>
      <c r="D3" s="14" t="s">
        <v>39</v>
      </c>
      <c r="E3" s="14" t="s">
        <v>7</v>
      </c>
      <c r="F3" s="14" t="s">
        <v>40</v>
      </c>
      <c r="G3" s="14" t="s">
        <v>27</v>
      </c>
      <c r="H3" s="14">
        <v>7.0699999999999999E-2</v>
      </c>
      <c r="I3" s="14">
        <v>7.4700000000000003E-2</v>
      </c>
      <c r="J3" s="14">
        <v>7.2999999999999995E-2</v>
      </c>
      <c r="K3" s="14">
        <v>7.22E-2</v>
      </c>
      <c r="L3" s="14">
        <v>7.17E-2</v>
      </c>
      <c r="M3" s="14">
        <v>7.5999999999999998E-2</v>
      </c>
      <c r="N3" s="14">
        <v>8.0199999999999994E-2</v>
      </c>
      <c r="O3" s="14">
        <v>8.4000000000000005E-2</v>
      </c>
      <c r="P3" s="14" t="s">
        <v>42</v>
      </c>
    </row>
    <row r="4" spans="1:22" x14ac:dyDescent="0.35">
      <c r="A4" s="14" t="s">
        <v>72</v>
      </c>
      <c r="B4" s="14" t="s">
        <v>14</v>
      </c>
      <c r="C4" s="14" t="s">
        <v>38</v>
      </c>
      <c r="D4" s="14" t="s">
        <v>39</v>
      </c>
      <c r="E4" s="14" t="s">
        <v>7</v>
      </c>
      <c r="F4" s="14" t="s">
        <v>40</v>
      </c>
      <c r="G4" s="14" t="s">
        <v>43</v>
      </c>
      <c r="H4" s="14">
        <v>13.1</v>
      </c>
      <c r="I4" s="14">
        <v>13.8</v>
      </c>
      <c r="J4" s="14">
        <v>13.5</v>
      </c>
      <c r="K4" s="14">
        <v>13.4</v>
      </c>
      <c r="L4" s="14">
        <v>13.3</v>
      </c>
      <c r="M4" s="14">
        <v>14.1</v>
      </c>
      <c r="N4" s="14">
        <v>14.9</v>
      </c>
      <c r="O4" s="14">
        <v>15.6</v>
      </c>
      <c r="P4" s="14" t="s">
        <v>44</v>
      </c>
    </row>
    <row r="5" spans="1:22" x14ac:dyDescent="0.35">
      <c r="A5" s="14" t="s">
        <v>72</v>
      </c>
      <c r="B5" s="14" t="s">
        <v>14</v>
      </c>
      <c r="C5" s="14" t="s">
        <v>38</v>
      </c>
      <c r="D5" s="14" t="s">
        <v>39</v>
      </c>
      <c r="E5" s="14" t="s">
        <v>7</v>
      </c>
      <c r="F5" s="14" t="s">
        <v>40</v>
      </c>
      <c r="G5" s="14" t="s">
        <v>45</v>
      </c>
      <c r="H5" s="14">
        <v>3.6600000000000001E-3</v>
      </c>
      <c r="I5" s="14">
        <v>3.8600000000000001E-3</v>
      </c>
      <c r="J5" s="14">
        <v>3.7799999999999999E-3</v>
      </c>
      <c r="K5" s="14">
        <v>3.7299999999999998E-3</v>
      </c>
      <c r="L5" s="14">
        <v>3.7100000000000002E-3</v>
      </c>
      <c r="M5" s="14">
        <v>3.9300000000000003E-3</v>
      </c>
      <c r="N5" s="14">
        <v>4.15E-3</v>
      </c>
      <c r="O5" s="14">
        <v>4.3499999999999997E-3</v>
      </c>
      <c r="P5" s="14" t="s">
        <v>42</v>
      </c>
    </row>
    <row r="6" spans="1:22" x14ac:dyDescent="0.35">
      <c r="A6" s="14" t="s">
        <v>72</v>
      </c>
      <c r="B6" s="14" t="s">
        <v>14</v>
      </c>
      <c r="C6" s="14" t="s">
        <v>38</v>
      </c>
      <c r="D6" s="14" t="s">
        <v>39</v>
      </c>
      <c r="E6" s="14" t="s">
        <v>7</v>
      </c>
      <c r="F6" s="14" t="s">
        <v>40</v>
      </c>
      <c r="G6" s="14" t="s">
        <v>19</v>
      </c>
      <c r="H6" s="14">
        <v>4.5900000000000003E-2</v>
      </c>
      <c r="I6" s="14">
        <v>4.8399999999999999E-2</v>
      </c>
      <c r="J6" s="14">
        <v>4.7399999999999998E-2</v>
      </c>
      <c r="K6" s="14">
        <v>4.6800000000000001E-2</v>
      </c>
      <c r="L6" s="14">
        <v>4.65E-2</v>
      </c>
      <c r="M6" s="14">
        <v>4.9299999999999997E-2</v>
      </c>
      <c r="N6" s="14">
        <v>5.21E-2</v>
      </c>
      <c r="O6" s="14">
        <v>5.45E-2</v>
      </c>
      <c r="P6" s="14" t="s">
        <v>42</v>
      </c>
    </row>
    <row r="7" spans="1:22" x14ac:dyDescent="0.35">
      <c r="A7" s="14" t="s">
        <v>72</v>
      </c>
      <c r="B7" s="14" t="s">
        <v>14</v>
      </c>
      <c r="C7" s="14" t="s">
        <v>38</v>
      </c>
      <c r="D7" s="14" t="s">
        <v>39</v>
      </c>
      <c r="E7" s="14" t="s">
        <v>7</v>
      </c>
      <c r="F7" s="14" t="s">
        <v>40</v>
      </c>
      <c r="G7" s="14" t="s">
        <v>8</v>
      </c>
      <c r="H7" s="14">
        <v>6.6100000000000006E-2</v>
      </c>
      <c r="I7" s="14">
        <v>6.9800000000000001E-2</v>
      </c>
      <c r="J7" s="14">
        <v>6.83E-2</v>
      </c>
      <c r="K7" s="14">
        <v>6.7500000000000004E-2</v>
      </c>
      <c r="L7" s="14">
        <v>6.7100000000000007E-2</v>
      </c>
      <c r="M7" s="14">
        <v>7.1099999999999997E-2</v>
      </c>
      <c r="N7" s="14">
        <v>7.51E-2</v>
      </c>
      <c r="O7" s="14">
        <v>7.8600000000000003E-2</v>
      </c>
      <c r="P7" s="14" t="s">
        <v>42</v>
      </c>
    </row>
    <row r="8" spans="1:22" x14ac:dyDescent="0.35">
      <c r="A8" s="14" t="s">
        <v>72</v>
      </c>
      <c r="B8" s="14" t="s">
        <v>14</v>
      </c>
      <c r="C8" s="14" t="s">
        <v>38</v>
      </c>
      <c r="D8" s="14" t="s">
        <v>39</v>
      </c>
      <c r="E8" s="14" t="s">
        <v>7</v>
      </c>
      <c r="F8" s="14" t="s">
        <v>40</v>
      </c>
      <c r="G8" s="14" t="s">
        <v>46</v>
      </c>
      <c r="H8" s="14">
        <v>4.4000000000000002E-4</v>
      </c>
      <c r="I8" s="14">
        <v>4.64E-4</v>
      </c>
      <c r="J8" s="14">
        <v>4.5399999999999998E-4</v>
      </c>
      <c r="K8" s="14">
        <v>4.4900000000000002E-4</v>
      </c>
      <c r="L8" s="14">
        <v>4.46E-4</v>
      </c>
      <c r="M8" s="14">
        <v>4.73E-4</v>
      </c>
      <c r="N8" s="14">
        <v>4.9899999999999999E-4</v>
      </c>
      <c r="O8" s="14">
        <v>5.2300000000000003E-4</v>
      </c>
      <c r="P8" s="14" t="s">
        <v>42</v>
      </c>
    </row>
    <row r="9" spans="1:22" x14ac:dyDescent="0.35">
      <c r="A9" s="14" t="s">
        <v>72</v>
      </c>
      <c r="B9" s="14" t="s">
        <v>14</v>
      </c>
      <c r="C9" s="14" t="s">
        <v>38</v>
      </c>
      <c r="D9" s="14" t="s">
        <v>39</v>
      </c>
      <c r="E9" s="14" t="s">
        <v>7</v>
      </c>
      <c r="F9" s="14" t="s">
        <v>40</v>
      </c>
      <c r="G9" s="14" t="s">
        <v>20</v>
      </c>
      <c r="H9" s="14">
        <v>1.2700000000000001E-3</v>
      </c>
      <c r="I9" s="14">
        <v>1.34E-3</v>
      </c>
      <c r="J9" s="14">
        <v>1.31E-3</v>
      </c>
      <c r="K9" s="14">
        <v>1.2899999999999999E-3</v>
      </c>
      <c r="L9" s="14">
        <v>1.2800000000000001E-3</v>
      </c>
      <c r="M9" s="14">
        <v>1.3600000000000001E-3</v>
      </c>
      <c r="N9" s="14">
        <v>1.4400000000000001E-3</v>
      </c>
      <c r="O9" s="14">
        <v>1.5E-3</v>
      </c>
      <c r="P9" s="14" t="s">
        <v>42</v>
      </c>
    </row>
    <row r="10" spans="1:22" x14ac:dyDescent="0.35">
      <c r="A10" s="14" t="s">
        <v>72</v>
      </c>
      <c r="B10" s="14" t="s">
        <v>14</v>
      </c>
      <c r="C10" s="14" t="s">
        <v>38</v>
      </c>
      <c r="D10" s="14" t="s">
        <v>39</v>
      </c>
      <c r="E10" s="14" t="s">
        <v>7</v>
      </c>
      <c r="F10" s="14" t="s">
        <v>40</v>
      </c>
      <c r="G10" s="14" t="s">
        <v>15</v>
      </c>
      <c r="H10" s="14">
        <v>9.7599999999999998E-4</v>
      </c>
      <c r="I10" s="14">
        <v>1.0300000000000001E-3</v>
      </c>
      <c r="J10" s="14">
        <v>1.01E-3</v>
      </c>
      <c r="K10" s="14">
        <v>9.9599999999999992E-4</v>
      </c>
      <c r="L10" s="14">
        <v>9.8999999999999999E-4</v>
      </c>
      <c r="M10" s="14">
        <v>1.0499999999999999E-3</v>
      </c>
      <c r="N10" s="14">
        <v>1.1100000000000001E-3</v>
      </c>
      <c r="O10" s="14">
        <v>1.16E-3</v>
      </c>
      <c r="P10" s="14" t="s">
        <v>42</v>
      </c>
    </row>
    <row r="11" spans="1:22" x14ac:dyDescent="0.35">
      <c r="A11" s="14" t="s">
        <v>72</v>
      </c>
      <c r="B11" s="14" t="s">
        <v>14</v>
      </c>
      <c r="C11" s="14" t="s">
        <v>38</v>
      </c>
      <c r="D11" s="14" t="s">
        <v>39</v>
      </c>
      <c r="E11" s="14" t="s">
        <v>7</v>
      </c>
      <c r="F11" s="14" t="s">
        <v>40</v>
      </c>
      <c r="G11" s="14" t="s">
        <v>16</v>
      </c>
      <c r="H11" s="14">
        <v>2.7799999999999998E-2</v>
      </c>
      <c r="I11" s="14">
        <v>2.9399999999999999E-2</v>
      </c>
      <c r="J11" s="14">
        <v>2.87E-2</v>
      </c>
      <c r="K11" s="14">
        <v>2.8400000000000002E-2</v>
      </c>
      <c r="L11" s="14">
        <v>2.8199999999999999E-2</v>
      </c>
      <c r="M11" s="14">
        <v>2.9899999999999999E-2</v>
      </c>
      <c r="N11" s="14">
        <v>3.1600000000000003E-2</v>
      </c>
      <c r="O11" s="14">
        <v>3.3000000000000002E-2</v>
      </c>
      <c r="P11" s="14" t="s">
        <v>42</v>
      </c>
      <c r="Q11" s="14"/>
      <c r="R11" s="14"/>
      <c r="S11" s="14"/>
      <c r="T11" s="14"/>
      <c r="U11" s="14"/>
      <c r="V11" s="14"/>
    </row>
    <row r="12" spans="1:22" x14ac:dyDescent="0.35">
      <c r="A12" s="14" t="s">
        <v>72</v>
      </c>
      <c r="B12" s="14" t="s">
        <v>14</v>
      </c>
      <c r="C12" s="14" t="s">
        <v>52</v>
      </c>
      <c r="D12" s="14" t="s">
        <v>53</v>
      </c>
      <c r="E12" s="14" t="s">
        <v>7</v>
      </c>
      <c r="F12" s="14" t="s">
        <v>40</v>
      </c>
      <c r="G12" s="14" t="s">
        <v>41</v>
      </c>
      <c r="H12" s="14">
        <v>4.15E-3</v>
      </c>
      <c r="I12" s="14">
        <v>4.4000000000000003E-3</v>
      </c>
      <c r="J12" s="14">
        <v>4.6299999999999996E-3</v>
      </c>
      <c r="K12" s="14">
        <v>4.7600000000000003E-3</v>
      </c>
      <c r="L12" s="14">
        <v>4.7000000000000002E-3</v>
      </c>
      <c r="M12" s="14">
        <v>4.8900000000000002E-3</v>
      </c>
      <c r="N12" s="14">
        <v>4.9199999999999999E-3</v>
      </c>
      <c r="O12" s="14">
        <v>4.6699999999999997E-3</v>
      </c>
      <c r="P12" s="14" t="s">
        <v>42</v>
      </c>
      <c r="Q12" s="14"/>
      <c r="R12" s="14"/>
      <c r="S12" s="14"/>
      <c r="T12" s="14"/>
      <c r="U12" s="14"/>
      <c r="V12" s="14"/>
    </row>
    <row r="13" spans="1:22" x14ac:dyDescent="0.35">
      <c r="A13" s="14" t="s">
        <v>72</v>
      </c>
      <c r="B13" s="14" t="s">
        <v>14</v>
      </c>
      <c r="C13" s="14" t="s">
        <v>52</v>
      </c>
      <c r="D13" s="14" t="s">
        <v>53</v>
      </c>
      <c r="E13" s="14" t="s">
        <v>7</v>
      </c>
      <c r="F13" s="14" t="s">
        <v>40</v>
      </c>
      <c r="G13" s="14" t="s">
        <v>27</v>
      </c>
      <c r="H13" s="14">
        <v>0.38400000000000001</v>
      </c>
      <c r="I13" s="14">
        <v>0.40699999999999997</v>
      </c>
      <c r="J13" s="14">
        <v>0.42899999999999999</v>
      </c>
      <c r="K13" s="14">
        <v>0.44</v>
      </c>
      <c r="L13" s="14">
        <v>0.435</v>
      </c>
      <c r="M13" s="14">
        <v>0.45200000000000001</v>
      </c>
      <c r="N13" s="14">
        <v>0.45600000000000002</v>
      </c>
      <c r="O13" s="14">
        <v>0.432</v>
      </c>
      <c r="P13" s="14" t="s">
        <v>42</v>
      </c>
      <c r="Q13" s="14"/>
      <c r="R13" s="14"/>
      <c r="S13" s="14"/>
      <c r="T13" s="14"/>
      <c r="U13" s="14"/>
      <c r="V13" s="14"/>
    </row>
    <row r="14" spans="1:22" x14ac:dyDescent="0.35">
      <c r="A14" s="14" t="s">
        <v>72</v>
      </c>
      <c r="B14" s="14" t="s">
        <v>14</v>
      </c>
      <c r="C14" s="14" t="s">
        <v>52</v>
      </c>
      <c r="D14" s="14" t="s">
        <v>53</v>
      </c>
      <c r="E14" s="14" t="s">
        <v>7</v>
      </c>
      <c r="F14" s="14" t="s">
        <v>40</v>
      </c>
      <c r="G14" s="14" t="s">
        <v>43</v>
      </c>
      <c r="H14" s="14">
        <v>50.1</v>
      </c>
      <c r="I14" s="14">
        <v>53.1</v>
      </c>
      <c r="J14" s="14">
        <v>55.8</v>
      </c>
      <c r="K14" s="14">
        <v>57.3</v>
      </c>
      <c r="L14" s="14">
        <v>56.7</v>
      </c>
      <c r="M14" s="14">
        <v>59</v>
      </c>
      <c r="N14" s="14">
        <v>59.4</v>
      </c>
      <c r="O14" s="14">
        <v>56.3</v>
      </c>
      <c r="P14" s="14" t="s">
        <v>44</v>
      </c>
      <c r="Q14" s="14"/>
      <c r="R14" s="14"/>
      <c r="S14" s="14"/>
      <c r="T14" s="14"/>
      <c r="U14" s="14"/>
      <c r="V14" s="14"/>
    </row>
    <row r="15" spans="1:22" x14ac:dyDescent="0.35">
      <c r="A15" s="14" t="s">
        <v>72</v>
      </c>
      <c r="B15" s="14" t="s">
        <v>14</v>
      </c>
      <c r="C15" s="14" t="s">
        <v>52</v>
      </c>
      <c r="D15" s="14" t="s">
        <v>53</v>
      </c>
      <c r="E15" s="14" t="s">
        <v>7</v>
      </c>
      <c r="F15" s="14" t="s">
        <v>40</v>
      </c>
      <c r="G15" s="14" t="s">
        <v>19</v>
      </c>
      <c r="H15" s="14">
        <v>3.5400000000000001E-2</v>
      </c>
      <c r="I15" s="14">
        <v>3.7499999999999999E-2</v>
      </c>
      <c r="J15" s="14">
        <v>3.95E-2</v>
      </c>
      <c r="K15" s="14">
        <v>4.0500000000000001E-2</v>
      </c>
      <c r="L15" s="14">
        <v>0.04</v>
      </c>
      <c r="M15" s="14">
        <v>4.1700000000000001E-2</v>
      </c>
      <c r="N15" s="14">
        <v>4.19E-2</v>
      </c>
      <c r="O15" s="14">
        <v>3.9800000000000002E-2</v>
      </c>
      <c r="P15" s="14" t="s">
        <v>42</v>
      </c>
      <c r="Q15" s="14"/>
      <c r="R15" s="14"/>
      <c r="S15" s="14"/>
      <c r="T15" s="14"/>
      <c r="U15" s="14"/>
      <c r="V15" s="14"/>
    </row>
    <row r="16" spans="1:22" x14ac:dyDescent="0.35">
      <c r="A16" s="14" t="s">
        <v>72</v>
      </c>
      <c r="B16" s="14" t="s">
        <v>14</v>
      </c>
      <c r="C16" s="14" t="s">
        <v>52</v>
      </c>
      <c r="D16" s="14" t="s">
        <v>53</v>
      </c>
      <c r="E16" s="14" t="s">
        <v>7</v>
      </c>
      <c r="F16" s="14" t="s">
        <v>40</v>
      </c>
      <c r="G16" s="14" t="s">
        <v>8</v>
      </c>
      <c r="H16" s="14">
        <v>0.11600000000000001</v>
      </c>
      <c r="I16" s="14">
        <v>0.123</v>
      </c>
      <c r="J16" s="14">
        <v>0.129</v>
      </c>
      <c r="K16" s="14">
        <v>0.13200000000000001</v>
      </c>
      <c r="L16" s="14">
        <v>0.13100000000000001</v>
      </c>
      <c r="M16" s="14">
        <v>0.13600000000000001</v>
      </c>
      <c r="N16" s="14">
        <v>0.13700000000000001</v>
      </c>
      <c r="O16" s="14">
        <v>0.13</v>
      </c>
      <c r="P16" s="14" t="s">
        <v>42</v>
      </c>
      <c r="Q16" s="14"/>
      <c r="R16" s="14"/>
      <c r="S16" s="14"/>
      <c r="T16" s="14"/>
      <c r="U16" s="14"/>
      <c r="V16" s="14"/>
    </row>
    <row r="17" spans="1:22" x14ac:dyDescent="0.35">
      <c r="A17" s="14" t="s">
        <v>72</v>
      </c>
      <c r="B17" s="14" t="s">
        <v>14</v>
      </c>
      <c r="C17" s="14" t="s">
        <v>52</v>
      </c>
      <c r="D17" s="14" t="s">
        <v>53</v>
      </c>
      <c r="E17" s="14" t="s">
        <v>7</v>
      </c>
      <c r="F17" s="14" t="s">
        <v>40</v>
      </c>
      <c r="G17" s="14" t="s">
        <v>46</v>
      </c>
      <c r="H17" s="14">
        <v>3.4399999999999999E-3</v>
      </c>
      <c r="I17" s="14">
        <v>3.65E-3</v>
      </c>
      <c r="J17" s="14">
        <v>3.8400000000000001E-3</v>
      </c>
      <c r="K17" s="14">
        <v>3.9500000000000004E-3</v>
      </c>
      <c r="L17" s="14">
        <v>3.8999999999999998E-3</v>
      </c>
      <c r="M17" s="14">
        <v>4.0600000000000002E-3</v>
      </c>
      <c r="N17" s="14">
        <v>4.0800000000000003E-3</v>
      </c>
      <c r="O17" s="14">
        <v>3.8800000000000002E-3</v>
      </c>
      <c r="P17" s="14" t="s">
        <v>42</v>
      </c>
      <c r="Q17" s="14"/>
      <c r="R17" s="14"/>
      <c r="S17" s="14"/>
      <c r="T17" s="14"/>
      <c r="U17" s="14"/>
      <c r="V17" s="14"/>
    </row>
    <row r="18" spans="1:22" x14ac:dyDescent="0.35">
      <c r="A18" s="14" t="s">
        <v>72</v>
      </c>
      <c r="B18" s="14" t="s">
        <v>14</v>
      </c>
      <c r="C18" s="14" t="s">
        <v>52</v>
      </c>
      <c r="D18" s="14" t="s">
        <v>53</v>
      </c>
      <c r="E18" s="14" t="s">
        <v>7</v>
      </c>
      <c r="F18" s="14" t="s">
        <v>40</v>
      </c>
      <c r="G18" s="14" t="s">
        <v>20</v>
      </c>
      <c r="H18" s="14">
        <v>9.4900000000000002E-3</v>
      </c>
      <c r="I18" s="14">
        <v>1.01E-2</v>
      </c>
      <c r="J18" s="14">
        <v>1.06E-2</v>
      </c>
      <c r="K18" s="14">
        <v>1.09E-2</v>
      </c>
      <c r="L18" s="14">
        <v>1.0699999999999999E-2</v>
      </c>
      <c r="M18" s="14">
        <v>1.12E-2</v>
      </c>
      <c r="N18" s="14">
        <v>1.12E-2</v>
      </c>
      <c r="O18" s="14">
        <v>1.0699999999999999E-2</v>
      </c>
      <c r="P18" s="14" t="s">
        <v>42</v>
      </c>
      <c r="Q18" s="14"/>
      <c r="R18" s="14"/>
      <c r="S18" s="14"/>
      <c r="T18" s="14"/>
      <c r="U18" s="14"/>
      <c r="V18" s="14"/>
    </row>
    <row r="19" spans="1:22" x14ac:dyDescent="0.35">
      <c r="A19" s="14" t="s">
        <v>72</v>
      </c>
      <c r="B19" s="14" t="s">
        <v>14</v>
      </c>
      <c r="C19" s="14" t="s">
        <v>52</v>
      </c>
      <c r="D19" s="14" t="s">
        <v>53</v>
      </c>
      <c r="E19" s="14" t="s">
        <v>7</v>
      </c>
      <c r="F19" s="14" t="s">
        <v>40</v>
      </c>
      <c r="G19" s="14" t="s">
        <v>15</v>
      </c>
      <c r="H19" s="14">
        <v>7.3099999999999997E-3</v>
      </c>
      <c r="I19" s="14">
        <v>7.7499999999999999E-3</v>
      </c>
      <c r="J19" s="14">
        <v>8.1600000000000006E-3</v>
      </c>
      <c r="K19" s="14">
        <v>8.3800000000000003E-3</v>
      </c>
      <c r="L19" s="14">
        <v>8.2799999999999992E-3</v>
      </c>
      <c r="M19" s="14">
        <v>8.6099999999999996E-3</v>
      </c>
      <c r="N19" s="14">
        <v>8.6700000000000006E-3</v>
      </c>
      <c r="O19" s="14">
        <v>8.2299999999999995E-3</v>
      </c>
      <c r="P19" s="14" t="s">
        <v>42</v>
      </c>
      <c r="Q19" s="14"/>
      <c r="R19" s="14"/>
      <c r="S19" s="14"/>
      <c r="T19" s="14"/>
      <c r="U19" s="14"/>
      <c r="V19" s="14"/>
    </row>
    <row r="20" spans="1:22" x14ac:dyDescent="0.35">
      <c r="A20" s="14" t="s">
        <v>72</v>
      </c>
      <c r="B20" s="14" t="s">
        <v>14</v>
      </c>
      <c r="C20" s="14" t="s">
        <v>52</v>
      </c>
      <c r="D20" s="14" t="s">
        <v>53</v>
      </c>
      <c r="E20" s="14" t="s">
        <v>7</v>
      </c>
      <c r="F20" s="14" t="s">
        <v>40</v>
      </c>
      <c r="G20" s="14" t="s">
        <v>16</v>
      </c>
      <c r="H20" s="14">
        <v>6.9099999999999995E-2</v>
      </c>
      <c r="I20" s="14">
        <v>7.3300000000000004E-2</v>
      </c>
      <c r="J20" s="14">
        <v>7.7100000000000002E-2</v>
      </c>
      <c r="K20" s="14">
        <v>7.9200000000000007E-2</v>
      </c>
      <c r="L20" s="14">
        <v>7.8299999999999995E-2</v>
      </c>
      <c r="M20" s="14">
        <v>8.14E-2</v>
      </c>
      <c r="N20" s="14">
        <v>8.2000000000000003E-2</v>
      </c>
      <c r="O20" s="14">
        <v>7.7799999999999994E-2</v>
      </c>
      <c r="P20" s="14" t="s">
        <v>42</v>
      </c>
    </row>
    <row r="22" spans="1:22" x14ac:dyDescent="0.35">
      <c r="A22" t="s">
        <v>10</v>
      </c>
      <c r="B22" t="s">
        <v>0</v>
      </c>
      <c r="D22" t="s">
        <v>11</v>
      </c>
      <c r="E22" t="s">
        <v>12</v>
      </c>
      <c r="H22">
        <v>2015</v>
      </c>
      <c r="I22">
        <v>2020</v>
      </c>
      <c r="J22">
        <v>2025</v>
      </c>
      <c r="K22">
        <v>2030</v>
      </c>
      <c r="L22">
        <v>2035</v>
      </c>
      <c r="M22">
        <v>2040</v>
      </c>
      <c r="N22">
        <v>2045</v>
      </c>
      <c r="O22">
        <v>2050</v>
      </c>
      <c r="P22" t="s">
        <v>13</v>
      </c>
    </row>
    <row r="23" spans="1:22" x14ac:dyDescent="0.35">
      <c r="A23" t="s">
        <v>72</v>
      </c>
      <c r="B23" t="s">
        <v>14</v>
      </c>
      <c r="D23" t="s">
        <v>53</v>
      </c>
      <c r="E23" t="s">
        <v>7</v>
      </c>
      <c r="H23">
        <v>2.5499999999999998</v>
      </c>
      <c r="I23">
        <v>2.71</v>
      </c>
      <c r="J23">
        <v>2.85</v>
      </c>
      <c r="K23">
        <v>2.93</v>
      </c>
      <c r="L23">
        <v>2.89</v>
      </c>
      <c r="M23">
        <v>3.01</v>
      </c>
      <c r="N23">
        <v>3.03</v>
      </c>
      <c r="O23">
        <v>2.87</v>
      </c>
      <c r="P23" t="s">
        <v>73</v>
      </c>
    </row>
    <row r="24" spans="1:22" x14ac:dyDescent="0.35">
      <c r="A24" t="s">
        <v>72</v>
      </c>
      <c r="B24" t="s">
        <v>14</v>
      </c>
      <c r="D24" t="s">
        <v>39</v>
      </c>
      <c r="E24" t="s">
        <v>7</v>
      </c>
      <c r="H24">
        <v>0.66800000000000004</v>
      </c>
      <c r="I24">
        <v>0.70599999999999996</v>
      </c>
      <c r="J24">
        <v>0.69</v>
      </c>
      <c r="K24">
        <v>0.68200000000000005</v>
      </c>
      <c r="L24">
        <v>0.67800000000000005</v>
      </c>
      <c r="M24">
        <v>0.71799999999999997</v>
      </c>
      <c r="N24">
        <v>0.75800000000000001</v>
      </c>
      <c r="O24">
        <v>0.79400000000000004</v>
      </c>
      <c r="P24" t="s">
        <v>73</v>
      </c>
    </row>
    <row r="25" spans="1:22" x14ac:dyDescent="0.35">
      <c r="H25">
        <f>SUM(H23:H24)</f>
        <v>3.218</v>
      </c>
      <c r="I25">
        <f t="shared" ref="I25:O25" si="0">SUM(I23:I24)</f>
        <v>3.4159999999999999</v>
      </c>
      <c r="J25">
        <f t="shared" si="0"/>
        <v>3.54</v>
      </c>
      <c r="K25">
        <f t="shared" si="0"/>
        <v>3.6120000000000001</v>
      </c>
      <c r="L25">
        <f t="shared" si="0"/>
        <v>3.5680000000000001</v>
      </c>
      <c r="M25">
        <f t="shared" si="0"/>
        <v>3.7279999999999998</v>
      </c>
      <c r="N25">
        <f t="shared" si="0"/>
        <v>3.7879999999999998</v>
      </c>
      <c r="O25">
        <f t="shared" si="0"/>
        <v>3.6640000000000001</v>
      </c>
    </row>
    <row r="27" spans="1:22" x14ac:dyDescent="0.35">
      <c r="E27" t="s">
        <v>74</v>
      </c>
      <c r="G27" t="s">
        <v>75</v>
      </c>
      <c r="H27" t="s">
        <v>76</v>
      </c>
      <c r="I27" t="s">
        <v>77</v>
      </c>
    </row>
    <row r="28" spans="1:22" x14ac:dyDescent="0.35">
      <c r="F28" t="s">
        <v>8</v>
      </c>
      <c r="G28">
        <f>(H7+H16)/H25</f>
        <v>5.6587942821628344E-2</v>
      </c>
      <c r="H28">
        <f>H16/H23</f>
        <v>4.5490196078431376E-2</v>
      </c>
      <c r="I28">
        <f>H7/H24</f>
        <v>9.8952095808383239E-2</v>
      </c>
    </row>
    <row r="29" spans="1:22" x14ac:dyDescent="0.35">
      <c r="F29" t="s">
        <v>16</v>
      </c>
      <c r="G29">
        <f>(H11+H20)/H25</f>
        <v>3.0111870727159724E-2</v>
      </c>
      <c r="H29">
        <f>H20/H23</f>
        <v>2.7098039215686275E-2</v>
      </c>
      <c r="I29">
        <f>H11/H24</f>
        <v>4.1616766467065865E-2</v>
      </c>
    </row>
    <row r="30" spans="1:22" x14ac:dyDescent="0.35">
      <c r="F30" t="s">
        <v>15</v>
      </c>
      <c r="G30">
        <f>(H10+H19)/H25</f>
        <v>2.5748912367930393E-3</v>
      </c>
      <c r="H30">
        <f>H19/H23</f>
        <v>2.8666666666666667E-3</v>
      </c>
      <c r="I30">
        <f>H10/H24</f>
        <v>1.4610778443113772E-3</v>
      </c>
    </row>
    <row r="31" spans="1:22" x14ac:dyDescent="0.35">
      <c r="F31" t="s">
        <v>20</v>
      </c>
      <c r="G31">
        <f>(H9+H18)/H25</f>
        <v>3.3436917339962711E-3</v>
      </c>
      <c r="H31">
        <f>H18/H23</f>
        <v>3.7215686274509807E-3</v>
      </c>
      <c r="I31">
        <f>H9/H23</f>
        <v>4.9803921568627454E-4</v>
      </c>
    </row>
    <row r="32" spans="1:22" x14ac:dyDescent="0.35">
      <c r="F32" t="s">
        <v>19</v>
      </c>
      <c r="G32">
        <f>(H6+H15)/H25</f>
        <v>2.5264139216904912E-2</v>
      </c>
      <c r="H32">
        <f>H15/H23</f>
        <v>1.3882352941176472E-2</v>
      </c>
      <c r="I32">
        <f>H6/H24</f>
        <v>6.8712574850299399E-2</v>
      </c>
    </row>
    <row r="33" spans="6:9" x14ac:dyDescent="0.35">
      <c r="F33" t="s">
        <v>27</v>
      </c>
      <c r="G33">
        <f>(H3+H13)/H25</f>
        <v>0.14129894344313237</v>
      </c>
      <c r="H33">
        <f>H13/H23</f>
        <v>0.15058823529411766</v>
      </c>
      <c r="I33">
        <f>H3/H24</f>
        <v>0.10583832335329341</v>
      </c>
    </row>
    <row r="34" spans="6:9" x14ac:dyDescent="0.35">
      <c r="F34" t="s">
        <v>45</v>
      </c>
      <c r="G34">
        <f>H5/H24</f>
        <v>5.4790419161676648E-3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air_EF_update_221117</vt:lpstr>
      <vt:lpstr>Calcs (2)</vt:lpstr>
      <vt:lpstr>GCAMResult_preScale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2022-05-04T20:28:20Z</dcterms:created>
  <dcterms:modified xsi:type="dcterms:W3CDTF">2022-11-19T00:34:25Z</dcterms:modified>
</cp:coreProperties>
</file>