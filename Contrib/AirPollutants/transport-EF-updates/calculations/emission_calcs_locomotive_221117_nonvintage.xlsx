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GLIMPSE-5p4\Contrib\AirPollutants\xml\"/>
    </mc:Choice>
  </mc:AlternateContent>
  <xr:revisionPtr revIDLastSave="0" documentId="13_ncr:1_{05EAC795-3AE8-4FE3-B0E3-FFF7D5110DF7}" xr6:coauthVersionLast="47" xr6:coauthVersionMax="47" xr10:uidLastSave="{00000000-0000-0000-0000-000000000000}"/>
  <bookViews>
    <workbookView xWindow="19410" yWindow="4230" windowWidth="33490" windowHeight="15320" xr2:uid="{051141FD-CA10-44BF-87B4-A488FE3E0D1D}"/>
  </bookViews>
  <sheets>
    <sheet name="locomotive_EF_update_221101" sheetId="1" r:id="rId1"/>
    <sheet name="TimeSeries" sheetId="3" r:id="rId2"/>
    <sheet name="sulfur" sheetId="5" r:id="rId3"/>
    <sheet name="Change over time" sheetId="4" r:id="rId4"/>
    <sheet name="InitData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8" i="1" l="1"/>
  <c r="G9" i="1"/>
  <c r="G7" i="1"/>
  <c r="G6" i="1"/>
  <c r="C13" i="5"/>
  <c r="C10" i="5"/>
  <c r="F7" i="5"/>
  <c r="E7" i="5"/>
  <c r="D7" i="5"/>
  <c r="C7" i="5"/>
  <c r="N4" i="2"/>
  <c r="J4" i="2"/>
  <c r="I19" i="4"/>
  <c r="H19" i="4"/>
  <c r="F19" i="4"/>
  <c r="E19" i="4"/>
  <c r="D19" i="4"/>
  <c r="C19" i="4"/>
  <c r="I18" i="4"/>
  <c r="H18" i="4"/>
  <c r="F18" i="4"/>
  <c r="E18" i="4"/>
  <c r="D18" i="4"/>
  <c r="C18" i="4"/>
  <c r="G19" i="4"/>
  <c r="B19" i="4"/>
  <c r="G18" i="4"/>
  <c r="B18" i="4"/>
  <c r="B18" i="3"/>
  <c r="B17" i="3"/>
  <c r="B14" i="3"/>
  <c r="B13" i="3"/>
  <c r="B10" i="3"/>
  <c r="B9" i="3"/>
  <c r="B6" i="3"/>
  <c r="B5" i="3"/>
  <c r="B30" i="4"/>
  <c r="H27" i="4"/>
  <c r="G27" i="4"/>
  <c r="F27" i="4"/>
  <c r="E27" i="4"/>
  <c r="D27" i="4"/>
  <c r="C27" i="4"/>
  <c r="B27" i="4"/>
  <c r="H26" i="4"/>
  <c r="G26" i="4"/>
  <c r="F26" i="4"/>
  <c r="E26" i="4"/>
  <c r="D26" i="4"/>
  <c r="C26" i="4"/>
  <c r="B26" i="4"/>
  <c r="I22" i="4"/>
  <c r="H22" i="4"/>
  <c r="G22" i="4"/>
  <c r="G5" i="3" s="1"/>
  <c r="F22" i="4"/>
  <c r="E22" i="4"/>
  <c r="D22" i="4"/>
  <c r="C22" i="4"/>
  <c r="B22" i="4"/>
  <c r="I30" i="4"/>
  <c r="I13" i="3" s="1"/>
  <c r="F30" i="4"/>
  <c r="E30" i="4"/>
  <c r="D30" i="4"/>
  <c r="C30" i="4"/>
  <c r="I27" i="4"/>
  <c r="D5" i="3" l="1"/>
  <c r="G67" i="1" s="1"/>
  <c r="I5" i="3"/>
  <c r="G10" i="3"/>
  <c r="G107" i="1" s="1"/>
  <c r="H5" i="3"/>
  <c r="E5" i="3"/>
  <c r="G12" i="1" s="1"/>
  <c r="E31" i="4"/>
  <c r="E14" i="3" s="1"/>
  <c r="I26" i="4"/>
  <c r="B31" i="4"/>
  <c r="C31" i="4"/>
  <c r="C14" i="3" s="1"/>
  <c r="E9" i="3"/>
  <c r="G75" i="1" s="1"/>
  <c r="F13" i="3"/>
  <c r="G90" i="1" s="1"/>
  <c r="F5" i="3"/>
  <c r="G13" i="1" s="1"/>
  <c r="F10" i="3"/>
  <c r="G104" i="1" s="1"/>
  <c r="G30" i="4"/>
  <c r="G13" i="3" s="1"/>
  <c r="G31" i="4"/>
  <c r="G14" i="3" s="1"/>
  <c r="H30" i="4"/>
  <c r="H13" i="3" s="1"/>
  <c r="E10" i="3"/>
  <c r="G103" i="1" s="1"/>
  <c r="D9" i="3"/>
  <c r="G74" i="1" s="1"/>
  <c r="G100" i="1"/>
  <c r="G15" i="1"/>
  <c r="G98" i="1"/>
  <c r="G14" i="1"/>
  <c r="G71" i="1"/>
  <c r="G70" i="1"/>
  <c r="G16" i="1"/>
  <c r="C5" i="3"/>
  <c r="G10" i="1" s="1"/>
  <c r="H9" i="3"/>
  <c r="I10" i="3"/>
  <c r="G49" i="1"/>
  <c r="H10" i="3"/>
  <c r="G72" i="1"/>
  <c r="I9" i="3"/>
  <c r="C13" i="3"/>
  <c r="G9" i="3"/>
  <c r="D13" i="3"/>
  <c r="C10" i="3"/>
  <c r="G99" i="1"/>
  <c r="C9" i="3"/>
  <c r="D10" i="3"/>
  <c r="E13" i="3"/>
  <c r="F9" i="3"/>
  <c r="G105" i="1"/>
  <c r="G11" i="1"/>
  <c r="K5" i="2"/>
  <c r="K4" i="2"/>
  <c r="O4" i="2" s="1"/>
  <c r="Q5" i="2"/>
  <c r="P5" i="2"/>
  <c r="O5" i="2"/>
  <c r="N5" i="2"/>
  <c r="Q4" i="2"/>
  <c r="P4" i="2"/>
  <c r="M5" i="2"/>
  <c r="M4" i="2"/>
  <c r="L5" i="2"/>
  <c r="L4" i="2"/>
  <c r="J5" i="2"/>
  <c r="G51" i="1" l="1"/>
  <c r="G106" i="1"/>
  <c r="G50" i="1"/>
  <c r="G48" i="1"/>
  <c r="G34" i="1"/>
  <c r="G19" i="1"/>
  <c r="G69" i="1"/>
  <c r="G68" i="1"/>
  <c r="G63" i="1"/>
  <c r="G120" i="1"/>
  <c r="G92" i="1"/>
  <c r="G36" i="1"/>
  <c r="G61" i="1"/>
  <c r="G117" i="1"/>
  <c r="G59" i="1"/>
  <c r="G115" i="1"/>
  <c r="G64" i="1"/>
  <c r="G93" i="1"/>
  <c r="G65" i="1"/>
  <c r="I31" i="4"/>
  <c r="I14" i="3" s="1"/>
  <c r="H31" i="4"/>
  <c r="H14" i="3" s="1"/>
  <c r="G121" i="1"/>
  <c r="G37" i="1"/>
  <c r="G47" i="1"/>
  <c r="G91" i="1"/>
  <c r="G35" i="1"/>
  <c r="D31" i="4"/>
  <c r="D14" i="3" s="1"/>
  <c r="G60" i="1" s="1"/>
  <c r="G119" i="1"/>
  <c r="F31" i="4"/>
  <c r="F14" i="3" s="1"/>
  <c r="G62" i="1" s="1"/>
  <c r="F35" i="4"/>
  <c r="F18" i="3" s="1"/>
  <c r="G55" i="1" s="1"/>
  <c r="E35" i="4"/>
  <c r="E18" i="3" s="1"/>
  <c r="D35" i="4"/>
  <c r="D18" i="3" s="1"/>
  <c r="C35" i="4"/>
  <c r="C18" i="3" s="1"/>
  <c r="H35" i="4"/>
  <c r="H18" i="3" s="1"/>
  <c r="B35" i="4"/>
  <c r="G35" i="4"/>
  <c r="G18" i="3" s="1"/>
  <c r="I35" i="4"/>
  <c r="I18" i="3" s="1"/>
  <c r="B34" i="4"/>
  <c r="H34" i="4"/>
  <c r="H17" i="3" s="1"/>
  <c r="G34" i="4"/>
  <c r="G17" i="3" s="1"/>
  <c r="G84" i="1" s="1"/>
  <c r="F34" i="4"/>
  <c r="F17" i="3" s="1"/>
  <c r="G83" i="1" s="1"/>
  <c r="D34" i="4"/>
  <c r="D17" i="3" s="1"/>
  <c r="E34" i="4"/>
  <c r="E17" i="3" s="1"/>
  <c r="C34" i="4"/>
  <c r="C17" i="3" s="1"/>
  <c r="I34" i="4"/>
  <c r="I17" i="3" s="1"/>
  <c r="G18" i="1"/>
  <c r="G66" i="1"/>
  <c r="G88" i="1"/>
  <c r="G32" i="1"/>
  <c r="G46" i="1"/>
  <c r="G102" i="1"/>
  <c r="C23" i="4"/>
  <c r="C6" i="3" s="1"/>
  <c r="G20" i="1"/>
  <c r="G76" i="1"/>
  <c r="G45" i="1"/>
  <c r="G101" i="1"/>
  <c r="G89" i="1"/>
  <c r="G33" i="1"/>
  <c r="G79" i="1"/>
  <c r="G77" i="1"/>
  <c r="G23" i="1"/>
  <c r="G78" i="1"/>
  <c r="G22" i="1"/>
  <c r="G21" i="1"/>
  <c r="G87" i="1"/>
  <c r="G31" i="1"/>
  <c r="F23" i="4"/>
  <c r="F6" i="3" s="1"/>
  <c r="G17" i="1"/>
  <c r="G73" i="1"/>
  <c r="D23" i="4"/>
  <c r="D6" i="3" s="1"/>
  <c r="I23" i="4"/>
  <c r="I6" i="3" s="1"/>
  <c r="H23" i="4"/>
  <c r="H6" i="3" s="1"/>
  <c r="E23" i="4"/>
  <c r="E6" i="3" s="1"/>
  <c r="G28" i="1" l="1"/>
  <c r="G86" i="1"/>
  <c r="G30" i="1"/>
  <c r="G29" i="1"/>
  <c r="G116" i="1"/>
  <c r="G118" i="1"/>
  <c r="G111" i="1"/>
  <c r="G57" i="1"/>
  <c r="G58" i="1"/>
  <c r="G114" i="1"/>
  <c r="G56" i="1"/>
  <c r="G113" i="1"/>
  <c r="G112" i="1"/>
  <c r="G85" i="1"/>
  <c r="G27" i="1"/>
  <c r="B23" i="4"/>
  <c r="G23" i="4"/>
  <c r="G6" i="3" s="1"/>
  <c r="G110" i="1"/>
  <c r="G54" i="1"/>
  <c r="G26" i="1"/>
  <c r="G82" i="1"/>
  <c r="G97" i="1"/>
  <c r="G41" i="1"/>
  <c r="G94" i="1"/>
  <c r="G38" i="1"/>
  <c r="G95" i="1"/>
  <c r="G39" i="1"/>
  <c r="G96" i="1"/>
  <c r="G40" i="1"/>
  <c r="G42" i="1" l="1"/>
  <c r="G44" i="1"/>
  <c r="G43" i="1"/>
  <c r="G53" i="1"/>
  <c r="G109" i="1"/>
  <c r="G25" i="1"/>
  <c r="G81" i="1"/>
  <c r="G52" i="1" l="1"/>
  <c r="G108" i="1"/>
  <c r="G24" i="1"/>
  <c r="G80" i="1"/>
</calcChain>
</file>

<file path=xl/sharedStrings.xml><?xml version="1.0" encoding="utf-8"?>
<sst xmlns="http://schemas.openxmlformats.org/spreadsheetml/2006/main" count="873" uniqueCount="60">
  <si>
    <t>region</t>
  </si>
  <si>
    <t>supplysector</t>
  </si>
  <si>
    <t>tranSubsector</t>
  </si>
  <si>
    <t>stub-technology</t>
  </si>
  <si>
    <t>year</t>
  </si>
  <si>
    <t>pollutant</t>
  </si>
  <si>
    <t>value</t>
  </si>
  <si>
    <t>trn_freight</t>
  </si>
  <si>
    <t>Liquids</t>
  </si>
  <si>
    <t>NOx</t>
  </si>
  <si>
    <t>Hybrid Liquids</t>
  </si>
  <si>
    <t>Freight Rail</t>
  </si>
  <si>
    <t>Passenger Rail</t>
  </si>
  <si>
    <t>scenario</t>
  </si>
  <si>
    <t>sector</t>
  </si>
  <si>
    <t>subsector</t>
  </si>
  <si>
    <t>technology</t>
  </si>
  <si>
    <t>input</t>
  </si>
  <si>
    <t>Units</t>
  </si>
  <si>
    <t>GCAM5p4-Ref-ap,date=2022-3-5T17:56:37-04:00</t>
  </si>
  <si>
    <t>Total</t>
  </si>
  <si>
    <t>EJ</t>
  </si>
  <si>
    <t>refined liquids enduse</t>
  </si>
  <si>
    <t>trn_pass</t>
  </si>
  <si>
    <t>GHG</t>
  </si>
  <si>
    <t>Tg</t>
  </si>
  <si>
    <t>PM2.5</t>
  </si>
  <si>
    <t>SO2</t>
  </si>
  <si>
    <t xml:space="preserve">NOx </t>
  </si>
  <si>
    <t>PM25</t>
  </si>
  <si>
    <t>VOC</t>
  </si>
  <si>
    <t>2015 EF</t>
  </si>
  <si>
    <t>NMVOC</t>
  </si>
  <si>
    <t>2020 EF</t>
  </si>
  <si>
    <t>PM10</t>
  </si>
  <si>
    <t>all states</t>
  </si>
  <si>
    <t>INPUT_TABLE</t>
  </si>
  <si>
    <t>Variable ID</t>
  </si>
  <si>
    <t>type</t>
  </si>
  <si>
    <t>input-driver</t>
  </si>
  <si>
    <t>GLIMPSEInputEmissCoef</t>
  </si>
  <si>
    <t>Freight</t>
  </si>
  <si>
    <t>Pass</t>
  </si>
  <si>
    <t>Uses 2015 values from GCAM as starting points. Follows trends from RIA</t>
  </si>
  <si>
    <t>Note: made assumption PM2.5 is 90% of PM10</t>
  </si>
  <si>
    <t>Overall average factors used for freight (since pass 3% of fuel use in RIA)</t>
  </si>
  <si>
    <t>Modified to assume 2040 value reflects full implementation of Tier 4 limits</t>
  </si>
  <si>
    <t xml:space="preserve">This is being applied to all vintages from 2020. </t>
  </si>
  <si>
    <t>Values for 2015 and 2040 are g/gal from file: rail_emissions_fact_sheet_P100500B.pdf</t>
  </si>
  <si>
    <t>rail</t>
  </si>
  <si>
    <t>2016fj</t>
  </si>
  <si>
    <t>2023fj</t>
  </si>
  <si>
    <t>2026fj</t>
  </si>
  <si>
    <t>2032fj</t>
  </si>
  <si>
    <t>tons</t>
  </si>
  <si>
    <t>SO2 emissions from emissions modeling platform</t>
  </si>
  <si>
    <t>converted to Tg</t>
  </si>
  <si>
    <t>Fuel use (EJ)</t>
  </si>
  <si>
    <t>Emission factor</t>
  </si>
  <si>
    <t>SO2_1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</si>
</sst>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_(* #,##0_);_(* \(#,##0\);_(* &quot;-&quot;??_);_(@_)"/>
    <numFmt numFmtId="170" formatCode="_(* #,##0.000000_);_(* \(#,##0.0000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B06F9-3A27-42F7-94CF-D689A759EF9D}">
  <dimension ref="A1:H121"/>
  <sheetViews>
    <sheetView tabSelected="1" workbookViewId="0">
      <selection activeCell="G9" sqref="G9"/>
    </sheetView>
  </sheetViews>
  <sheetFormatPr defaultRowHeight="14.5" x14ac:dyDescent="0.35"/>
  <cols>
    <col min="2" max="2" width="12.453125" customWidth="1"/>
    <col min="3" max="3" width="21.54296875" customWidth="1"/>
  </cols>
  <sheetData>
    <row r="1" spans="1:8" x14ac:dyDescent="0.35">
      <c r="A1" t="s">
        <v>36</v>
      </c>
    </row>
    <row r="2" spans="1:8" x14ac:dyDescent="0.35">
      <c r="A2" t="s">
        <v>37</v>
      </c>
    </row>
    <row r="3" spans="1:8" x14ac:dyDescent="0.35">
      <c r="A3" t="s">
        <v>40</v>
      </c>
    </row>
    <row r="5" spans="1:8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38</v>
      </c>
    </row>
    <row r="6" spans="1:8" x14ac:dyDescent="0.35">
      <c r="A6" t="s">
        <v>35</v>
      </c>
      <c r="B6" t="s">
        <v>7</v>
      </c>
      <c r="C6" t="s">
        <v>11</v>
      </c>
      <c r="D6" t="s">
        <v>8</v>
      </c>
      <c r="E6">
        <v>2015</v>
      </c>
      <c r="F6" t="s">
        <v>59</v>
      </c>
      <c r="G6">
        <f>sulfur!C13</f>
        <v>8.1884742221243476E-4</v>
      </c>
      <c r="H6" t="s">
        <v>39</v>
      </c>
    </row>
    <row r="7" spans="1:8" x14ac:dyDescent="0.35">
      <c r="A7" t="s">
        <v>35</v>
      </c>
      <c r="B7" t="s">
        <v>7</v>
      </c>
      <c r="C7" t="s">
        <v>11</v>
      </c>
      <c r="D7" t="s">
        <v>10</v>
      </c>
      <c r="E7">
        <v>2015</v>
      </c>
      <c r="F7" t="s">
        <v>59</v>
      </c>
      <c r="G7">
        <f>G6</f>
        <v>8.1884742221243476E-4</v>
      </c>
      <c r="H7" t="s">
        <v>39</v>
      </c>
    </row>
    <row r="8" spans="1:8" x14ac:dyDescent="0.35">
      <c r="A8" t="s">
        <v>35</v>
      </c>
      <c r="B8" t="s">
        <v>23</v>
      </c>
      <c r="C8" t="s">
        <v>12</v>
      </c>
      <c r="D8" t="s">
        <v>8</v>
      </c>
      <c r="E8">
        <v>2015</v>
      </c>
      <c r="F8" t="s">
        <v>59</v>
      </c>
      <c r="G8">
        <f>G7</f>
        <v>8.1884742221243476E-4</v>
      </c>
      <c r="H8" t="s">
        <v>39</v>
      </c>
    </row>
    <row r="9" spans="1:8" x14ac:dyDescent="0.35">
      <c r="A9" t="s">
        <v>35</v>
      </c>
      <c r="B9" t="s">
        <v>23</v>
      </c>
      <c r="C9" t="s">
        <v>12</v>
      </c>
      <c r="D9" t="s">
        <v>8</v>
      </c>
      <c r="E9">
        <v>2015</v>
      </c>
      <c r="F9" t="s">
        <v>59</v>
      </c>
      <c r="G9">
        <f>G8</f>
        <v>8.1884742221243476E-4</v>
      </c>
      <c r="H9" t="s">
        <v>39</v>
      </c>
    </row>
    <row r="10" spans="1:8" x14ac:dyDescent="0.35">
      <c r="A10" t="s">
        <v>35</v>
      </c>
      <c r="B10" t="s">
        <v>7</v>
      </c>
      <c r="C10" t="s">
        <v>11</v>
      </c>
      <c r="D10" t="s">
        <v>8</v>
      </c>
      <c r="E10">
        <v>2020</v>
      </c>
      <c r="F10" t="s">
        <v>9</v>
      </c>
      <c r="G10">
        <f>TimeSeries!C5</f>
        <v>0.92651453626744729</v>
      </c>
      <c r="H10" t="s">
        <v>39</v>
      </c>
    </row>
    <row r="11" spans="1:8" x14ac:dyDescent="0.35">
      <c r="A11" t="s">
        <v>35</v>
      </c>
      <c r="B11" t="s">
        <v>7</v>
      </c>
      <c r="C11" t="s">
        <v>11</v>
      </c>
      <c r="D11" t="s">
        <v>8</v>
      </c>
      <c r="E11">
        <v>2025</v>
      </c>
      <c r="F11" t="s">
        <v>9</v>
      </c>
      <c r="G11">
        <f>TimeSeries!D5</f>
        <v>0.70138016296881522</v>
      </c>
      <c r="H11" t="s">
        <v>39</v>
      </c>
    </row>
    <row r="12" spans="1:8" x14ac:dyDescent="0.35">
      <c r="A12" t="s">
        <v>35</v>
      </c>
      <c r="B12" t="s">
        <v>7</v>
      </c>
      <c r="C12" t="s">
        <v>11</v>
      </c>
      <c r="D12" t="s">
        <v>8</v>
      </c>
      <c r="E12">
        <v>2030</v>
      </c>
      <c r="F12" t="s">
        <v>9</v>
      </c>
      <c r="G12">
        <f>TimeSeries!E5</f>
        <v>0.51954086145838163</v>
      </c>
      <c r="H12" t="s">
        <v>39</v>
      </c>
    </row>
    <row r="13" spans="1:8" x14ac:dyDescent="0.35">
      <c r="A13" t="s">
        <v>35</v>
      </c>
      <c r="B13" t="s">
        <v>7</v>
      </c>
      <c r="C13" t="s">
        <v>11</v>
      </c>
      <c r="D13" t="s">
        <v>8</v>
      </c>
      <c r="E13">
        <v>2035</v>
      </c>
      <c r="F13" t="s">
        <v>9</v>
      </c>
      <c r="G13">
        <f>TimeSeries!F5</f>
        <v>0.37233761737850685</v>
      </c>
      <c r="H13" t="s">
        <v>39</v>
      </c>
    </row>
    <row r="14" spans="1:8" x14ac:dyDescent="0.35">
      <c r="A14" t="s">
        <v>35</v>
      </c>
      <c r="B14" t="s">
        <v>7</v>
      </c>
      <c r="C14" t="s">
        <v>11</v>
      </c>
      <c r="D14" t="s">
        <v>8</v>
      </c>
      <c r="E14">
        <v>2040</v>
      </c>
      <c r="F14" t="s">
        <v>9</v>
      </c>
      <c r="G14">
        <f>TimeSeries!G5</f>
        <v>0.27708845944447019</v>
      </c>
      <c r="H14" t="s">
        <v>39</v>
      </c>
    </row>
    <row r="15" spans="1:8" x14ac:dyDescent="0.35">
      <c r="A15" t="s">
        <v>35</v>
      </c>
      <c r="B15" t="s">
        <v>7</v>
      </c>
      <c r="C15" t="s">
        <v>11</v>
      </c>
      <c r="D15" t="s">
        <v>8</v>
      </c>
      <c r="E15">
        <v>2045</v>
      </c>
      <c r="F15" t="s">
        <v>9</v>
      </c>
      <c r="G15">
        <f>TimeSeries!G5</f>
        <v>0.27708845944447019</v>
      </c>
      <c r="H15" t="s">
        <v>39</v>
      </c>
    </row>
    <row r="16" spans="1:8" x14ac:dyDescent="0.35">
      <c r="A16" t="s">
        <v>35</v>
      </c>
      <c r="B16" t="s">
        <v>7</v>
      </c>
      <c r="C16" t="s">
        <v>11</v>
      </c>
      <c r="D16" t="s">
        <v>8</v>
      </c>
      <c r="E16">
        <v>2050</v>
      </c>
      <c r="F16" t="s">
        <v>9</v>
      </c>
      <c r="G16">
        <f>TimeSeries!G5</f>
        <v>0.27708845944447019</v>
      </c>
      <c r="H16" t="s">
        <v>39</v>
      </c>
    </row>
    <row r="17" spans="1:8" x14ac:dyDescent="0.35">
      <c r="A17" t="s">
        <v>35</v>
      </c>
      <c r="B17" t="s">
        <v>7</v>
      </c>
      <c r="C17" t="s">
        <v>11</v>
      </c>
      <c r="D17" t="s">
        <v>8</v>
      </c>
      <c r="E17">
        <v>2020</v>
      </c>
      <c r="F17" t="s">
        <v>34</v>
      </c>
      <c r="G17">
        <f>TimeSeries!C9</f>
        <v>2.7134688338299899E-2</v>
      </c>
      <c r="H17" t="s">
        <v>39</v>
      </c>
    </row>
    <row r="18" spans="1:8" x14ac:dyDescent="0.35">
      <c r="A18" t="s">
        <v>35</v>
      </c>
      <c r="B18" t="s">
        <v>7</v>
      </c>
      <c r="C18" t="s">
        <v>11</v>
      </c>
      <c r="D18" t="s">
        <v>8</v>
      </c>
      <c r="E18">
        <v>2025</v>
      </c>
      <c r="F18" t="s">
        <v>34</v>
      </c>
      <c r="G18">
        <f>TimeSeries!D9</f>
        <v>1.953697560357593E-2</v>
      </c>
      <c r="H18" t="s">
        <v>39</v>
      </c>
    </row>
    <row r="19" spans="1:8" x14ac:dyDescent="0.35">
      <c r="A19" t="s">
        <v>35</v>
      </c>
      <c r="B19" t="s">
        <v>7</v>
      </c>
      <c r="C19" t="s">
        <v>11</v>
      </c>
      <c r="D19" t="s">
        <v>8</v>
      </c>
      <c r="E19">
        <v>2030</v>
      </c>
      <c r="F19" t="s">
        <v>34</v>
      </c>
      <c r="G19">
        <f>TimeSeries!E9</f>
        <v>1.3024650402383951E-2</v>
      </c>
      <c r="H19" t="s">
        <v>39</v>
      </c>
    </row>
    <row r="20" spans="1:8" x14ac:dyDescent="0.35">
      <c r="A20" t="s">
        <v>35</v>
      </c>
      <c r="B20" t="s">
        <v>7</v>
      </c>
      <c r="C20" t="s">
        <v>11</v>
      </c>
      <c r="D20" t="s">
        <v>8</v>
      </c>
      <c r="E20">
        <v>2035</v>
      </c>
      <c r="F20" t="s">
        <v>34</v>
      </c>
      <c r="G20">
        <f>TimeSeries!F9</f>
        <v>8.6831002682559687E-3</v>
      </c>
      <c r="H20" t="s">
        <v>39</v>
      </c>
    </row>
    <row r="21" spans="1:8" x14ac:dyDescent="0.35">
      <c r="A21" t="s">
        <v>35</v>
      </c>
      <c r="B21" t="s">
        <v>7</v>
      </c>
      <c r="C21" t="s">
        <v>11</v>
      </c>
      <c r="D21" t="s">
        <v>8</v>
      </c>
      <c r="E21">
        <v>2040</v>
      </c>
      <c r="F21" t="s">
        <v>34</v>
      </c>
      <c r="G21">
        <f>TimeSeries!G9</f>
        <v>5.4269376676599791E-3</v>
      </c>
      <c r="H21" t="s">
        <v>39</v>
      </c>
    </row>
    <row r="22" spans="1:8" x14ac:dyDescent="0.35">
      <c r="A22" t="s">
        <v>35</v>
      </c>
      <c r="B22" t="s">
        <v>7</v>
      </c>
      <c r="C22" t="s">
        <v>11</v>
      </c>
      <c r="D22" t="s">
        <v>8</v>
      </c>
      <c r="E22">
        <v>2045</v>
      </c>
      <c r="F22" t="s">
        <v>34</v>
      </c>
      <c r="G22">
        <f>TimeSeries!G9</f>
        <v>5.4269376676599791E-3</v>
      </c>
      <c r="H22" t="s">
        <v>39</v>
      </c>
    </row>
    <row r="23" spans="1:8" x14ac:dyDescent="0.35">
      <c r="A23" t="s">
        <v>35</v>
      </c>
      <c r="B23" t="s">
        <v>7</v>
      </c>
      <c r="C23" t="s">
        <v>11</v>
      </c>
      <c r="D23" t="s">
        <v>8</v>
      </c>
      <c r="E23">
        <v>2050</v>
      </c>
      <c r="F23" t="s">
        <v>34</v>
      </c>
      <c r="G23">
        <f>TimeSeries!G9</f>
        <v>5.4269376676599791E-3</v>
      </c>
      <c r="H23" t="s">
        <v>39</v>
      </c>
    </row>
    <row r="24" spans="1:8" x14ac:dyDescent="0.35">
      <c r="A24" t="s">
        <v>35</v>
      </c>
      <c r="B24" t="s">
        <v>7</v>
      </c>
      <c r="C24" t="s">
        <v>11</v>
      </c>
      <c r="D24" t="s">
        <v>8</v>
      </c>
      <c r="E24">
        <v>2020</v>
      </c>
      <c r="F24" t="s">
        <v>26</v>
      </c>
      <c r="G24">
        <f>TimeSeries!C17</f>
        <v>2.5540282161269613E-2</v>
      </c>
      <c r="H24" t="s">
        <v>39</v>
      </c>
    </row>
    <row r="25" spans="1:8" x14ac:dyDescent="0.35">
      <c r="A25" t="s">
        <v>35</v>
      </c>
      <c r="B25" t="s">
        <v>7</v>
      </c>
      <c r="C25" t="s">
        <v>11</v>
      </c>
      <c r="D25" t="s">
        <v>8</v>
      </c>
      <c r="E25">
        <v>2025</v>
      </c>
      <c r="F25" t="s">
        <v>26</v>
      </c>
      <c r="G25">
        <f>TimeSeries!D17</f>
        <v>1.8389003156114126E-2</v>
      </c>
      <c r="H25" t="s">
        <v>39</v>
      </c>
    </row>
    <row r="26" spans="1:8" x14ac:dyDescent="0.35">
      <c r="A26" t="s">
        <v>35</v>
      </c>
      <c r="B26" t="s">
        <v>7</v>
      </c>
      <c r="C26" t="s">
        <v>11</v>
      </c>
      <c r="D26" t="s">
        <v>8</v>
      </c>
      <c r="E26">
        <v>2030</v>
      </c>
      <c r="F26" t="s">
        <v>26</v>
      </c>
      <c r="G26">
        <f>TimeSeries!E17</f>
        <v>1.2259335437409417E-2</v>
      </c>
      <c r="H26" t="s">
        <v>39</v>
      </c>
    </row>
    <row r="27" spans="1:8" x14ac:dyDescent="0.35">
      <c r="A27" t="s">
        <v>35</v>
      </c>
      <c r="B27" t="s">
        <v>7</v>
      </c>
      <c r="C27" t="s">
        <v>11</v>
      </c>
      <c r="D27" t="s">
        <v>8</v>
      </c>
      <c r="E27">
        <v>2035</v>
      </c>
      <c r="F27" t="s">
        <v>26</v>
      </c>
      <c r="G27">
        <f>TimeSeries!F17</f>
        <v>8.1728902916062777E-3</v>
      </c>
      <c r="H27" t="s">
        <v>39</v>
      </c>
    </row>
    <row r="28" spans="1:8" x14ac:dyDescent="0.35">
      <c r="A28" t="s">
        <v>35</v>
      </c>
      <c r="B28" t="s">
        <v>7</v>
      </c>
      <c r="C28" t="s">
        <v>11</v>
      </c>
      <c r="D28" t="s">
        <v>8</v>
      </c>
      <c r="E28">
        <v>2040</v>
      </c>
      <c r="F28" t="s">
        <v>26</v>
      </c>
      <c r="G28">
        <f>TimeSeries!G17</f>
        <v>5.1080564322539233E-3</v>
      </c>
      <c r="H28" t="s">
        <v>39</v>
      </c>
    </row>
    <row r="29" spans="1:8" x14ac:dyDescent="0.35">
      <c r="A29" t="s">
        <v>35</v>
      </c>
      <c r="B29" t="s">
        <v>7</v>
      </c>
      <c r="C29" t="s">
        <v>11</v>
      </c>
      <c r="D29" t="s">
        <v>8</v>
      </c>
      <c r="E29">
        <v>2045</v>
      </c>
      <c r="F29" t="s">
        <v>26</v>
      </c>
      <c r="G29">
        <f>TimeSeries!G17</f>
        <v>5.1080564322539233E-3</v>
      </c>
      <c r="H29" t="s">
        <v>39</v>
      </c>
    </row>
    <row r="30" spans="1:8" x14ac:dyDescent="0.35">
      <c r="A30" t="s">
        <v>35</v>
      </c>
      <c r="B30" t="s">
        <v>7</v>
      </c>
      <c r="C30" t="s">
        <v>11</v>
      </c>
      <c r="D30" t="s">
        <v>8</v>
      </c>
      <c r="E30">
        <v>2050</v>
      </c>
      <c r="F30" t="s">
        <v>26</v>
      </c>
      <c r="G30">
        <f>TimeSeries!G17</f>
        <v>5.1080564322539233E-3</v>
      </c>
      <c r="H30" t="s">
        <v>39</v>
      </c>
    </row>
    <row r="31" spans="1:8" x14ac:dyDescent="0.35">
      <c r="A31" t="s">
        <v>35</v>
      </c>
      <c r="B31" t="s">
        <v>7</v>
      </c>
      <c r="C31" t="s">
        <v>11</v>
      </c>
      <c r="D31" t="s">
        <v>8</v>
      </c>
      <c r="E31">
        <v>2020</v>
      </c>
      <c r="F31" t="s">
        <v>32</v>
      </c>
      <c r="G31">
        <f>TimeSeries!C13</f>
        <v>5.5633251245453971E-2</v>
      </c>
      <c r="H31" t="s">
        <v>39</v>
      </c>
    </row>
    <row r="32" spans="1:8" x14ac:dyDescent="0.35">
      <c r="A32" t="s">
        <v>35</v>
      </c>
      <c r="B32" t="s">
        <v>7</v>
      </c>
      <c r="C32" t="s">
        <v>11</v>
      </c>
      <c r="D32" t="s">
        <v>8</v>
      </c>
      <c r="E32">
        <v>2025</v>
      </c>
      <c r="F32" t="s">
        <v>32</v>
      </c>
      <c r="G32">
        <f>TimeSeries!D13</f>
        <v>4.1062637824025548E-2</v>
      </c>
      <c r="H32" t="s">
        <v>39</v>
      </c>
    </row>
    <row r="33" spans="1:8" x14ac:dyDescent="0.35">
      <c r="A33" t="s">
        <v>35</v>
      </c>
      <c r="B33" t="s">
        <v>7</v>
      </c>
      <c r="C33" t="s">
        <v>11</v>
      </c>
      <c r="D33" t="s">
        <v>8</v>
      </c>
      <c r="E33">
        <v>2030</v>
      </c>
      <c r="F33" t="s">
        <v>32</v>
      </c>
      <c r="G33">
        <f>TimeSeries!E13</f>
        <v>3.0465828062986693E-2</v>
      </c>
      <c r="H33" t="s">
        <v>39</v>
      </c>
    </row>
    <row r="34" spans="1:8" x14ac:dyDescent="0.35">
      <c r="A34" t="s">
        <v>35</v>
      </c>
      <c r="B34" t="s">
        <v>7</v>
      </c>
      <c r="C34" t="s">
        <v>11</v>
      </c>
      <c r="D34" t="s">
        <v>8</v>
      </c>
      <c r="E34">
        <v>2035</v>
      </c>
      <c r="F34" t="s">
        <v>32</v>
      </c>
      <c r="G34">
        <f>TimeSeries!F13</f>
        <v>2.2518220742207558E-2</v>
      </c>
      <c r="H34" t="s">
        <v>39</v>
      </c>
    </row>
    <row r="35" spans="1:8" x14ac:dyDescent="0.35">
      <c r="A35" t="s">
        <v>35</v>
      </c>
      <c r="B35" t="s">
        <v>7</v>
      </c>
      <c r="C35" t="s">
        <v>11</v>
      </c>
      <c r="D35" t="s">
        <v>8</v>
      </c>
      <c r="E35">
        <v>2040</v>
      </c>
      <c r="F35" t="s">
        <v>32</v>
      </c>
      <c r="G35">
        <f>TimeSeries!G13</f>
        <v>1.7219815861688133E-2</v>
      </c>
      <c r="H35" t="s">
        <v>39</v>
      </c>
    </row>
    <row r="36" spans="1:8" x14ac:dyDescent="0.35">
      <c r="A36" t="s">
        <v>35</v>
      </c>
      <c r="B36" t="s">
        <v>7</v>
      </c>
      <c r="C36" t="s">
        <v>11</v>
      </c>
      <c r="D36" t="s">
        <v>8</v>
      </c>
      <c r="E36">
        <v>2045</v>
      </c>
      <c r="F36" t="s">
        <v>32</v>
      </c>
      <c r="G36">
        <f>TimeSeries!G13</f>
        <v>1.7219815861688133E-2</v>
      </c>
      <c r="H36" t="s">
        <v>39</v>
      </c>
    </row>
    <row r="37" spans="1:8" x14ac:dyDescent="0.35">
      <c r="A37" t="s">
        <v>35</v>
      </c>
      <c r="B37" t="s">
        <v>7</v>
      </c>
      <c r="C37" t="s">
        <v>11</v>
      </c>
      <c r="D37" t="s">
        <v>8</v>
      </c>
      <c r="E37">
        <v>2050</v>
      </c>
      <c r="F37" t="s">
        <v>32</v>
      </c>
      <c r="G37">
        <f>TimeSeries!G13</f>
        <v>1.7219815861688133E-2</v>
      </c>
      <c r="H37" t="s">
        <v>39</v>
      </c>
    </row>
    <row r="38" spans="1:8" x14ac:dyDescent="0.35">
      <c r="A38" t="s">
        <v>35</v>
      </c>
      <c r="B38" t="s">
        <v>23</v>
      </c>
      <c r="C38" t="s">
        <v>12</v>
      </c>
      <c r="D38" t="s">
        <v>8</v>
      </c>
      <c r="E38">
        <v>2020</v>
      </c>
      <c r="F38" t="s">
        <v>9</v>
      </c>
      <c r="G38">
        <f>TimeSeries!C6</f>
        <v>0.84217427974380377</v>
      </c>
      <c r="H38" t="s">
        <v>39</v>
      </c>
    </row>
    <row r="39" spans="1:8" x14ac:dyDescent="0.35">
      <c r="A39" t="s">
        <v>35</v>
      </c>
      <c r="B39" t="s">
        <v>23</v>
      </c>
      <c r="C39" t="s">
        <v>12</v>
      </c>
      <c r="D39" t="s">
        <v>8</v>
      </c>
      <c r="E39">
        <v>2025</v>
      </c>
      <c r="F39" t="s">
        <v>9</v>
      </c>
      <c r="G39">
        <f>TimeSeries!D6</f>
        <v>0.61578334432880277</v>
      </c>
      <c r="H39" t="s">
        <v>39</v>
      </c>
    </row>
    <row r="40" spans="1:8" x14ac:dyDescent="0.35">
      <c r="A40" t="s">
        <v>35</v>
      </c>
      <c r="B40" t="s">
        <v>23</v>
      </c>
      <c r="C40" t="s">
        <v>12</v>
      </c>
      <c r="D40" t="s">
        <v>8</v>
      </c>
      <c r="E40">
        <v>2030</v>
      </c>
      <c r="F40" t="s">
        <v>9</v>
      </c>
      <c r="G40">
        <f>TimeSeries!E6</f>
        <v>0.44372623341340206</v>
      </c>
      <c r="H40" t="s">
        <v>39</v>
      </c>
    </row>
    <row r="41" spans="1:8" x14ac:dyDescent="0.35">
      <c r="A41" t="s">
        <v>35</v>
      </c>
      <c r="B41" t="s">
        <v>23</v>
      </c>
      <c r="C41" t="s">
        <v>12</v>
      </c>
      <c r="D41" t="s">
        <v>8</v>
      </c>
      <c r="E41">
        <v>2035</v>
      </c>
      <c r="F41" t="s">
        <v>9</v>
      </c>
      <c r="G41">
        <f>TimeSeries!F6</f>
        <v>0.29883603474780135</v>
      </c>
      <c r="H41" t="s">
        <v>39</v>
      </c>
    </row>
    <row r="42" spans="1:8" x14ac:dyDescent="0.35">
      <c r="A42" t="s">
        <v>35</v>
      </c>
      <c r="B42" t="s">
        <v>23</v>
      </c>
      <c r="C42" t="s">
        <v>12</v>
      </c>
      <c r="D42" t="s">
        <v>8</v>
      </c>
      <c r="E42">
        <v>2040</v>
      </c>
      <c r="F42" t="s">
        <v>9</v>
      </c>
      <c r="G42">
        <f>TimeSeries!G6</f>
        <v>0.20827966058180095</v>
      </c>
      <c r="H42" t="s">
        <v>39</v>
      </c>
    </row>
    <row r="43" spans="1:8" x14ac:dyDescent="0.35">
      <c r="A43" t="s">
        <v>35</v>
      </c>
      <c r="B43" t="s">
        <v>23</v>
      </c>
      <c r="C43" t="s">
        <v>12</v>
      </c>
      <c r="D43" t="s">
        <v>8</v>
      </c>
      <c r="E43">
        <v>2045</v>
      </c>
      <c r="F43" t="s">
        <v>9</v>
      </c>
      <c r="G43">
        <f>TimeSeries!G6</f>
        <v>0.20827966058180095</v>
      </c>
      <c r="H43" t="s">
        <v>39</v>
      </c>
    </row>
    <row r="44" spans="1:8" x14ac:dyDescent="0.35">
      <c r="A44" t="s">
        <v>35</v>
      </c>
      <c r="B44" t="s">
        <v>23</v>
      </c>
      <c r="C44" t="s">
        <v>12</v>
      </c>
      <c r="D44" t="s">
        <v>8</v>
      </c>
      <c r="E44">
        <v>2050</v>
      </c>
      <c r="F44" t="s">
        <v>9</v>
      </c>
      <c r="G44">
        <f>TimeSeries!G6</f>
        <v>0.20827966058180095</v>
      </c>
      <c r="H44" t="s">
        <v>39</v>
      </c>
    </row>
    <row r="45" spans="1:8" x14ac:dyDescent="0.35">
      <c r="A45" t="s">
        <v>35</v>
      </c>
      <c r="B45" t="s">
        <v>23</v>
      </c>
      <c r="C45" t="s">
        <v>12</v>
      </c>
      <c r="D45" t="s">
        <v>8</v>
      </c>
      <c r="E45">
        <v>2020</v>
      </c>
      <c r="F45" t="s">
        <v>34</v>
      </c>
      <c r="G45">
        <f>TimeSeries!C10</f>
        <v>2.6404884994368761E-2</v>
      </c>
      <c r="H45" t="s">
        <v>39</v>
      </c>
    </row>
    <row r="46" spans="1:8" x14ac:dyDescent="0.35">
      <c r="A46" t="s">
        <v>35</v>
      </c>
      <c r="B46" t="s">
        <v>23</v>
      </c>
      <c r="C46" t="s">
        <v>12</v>
      </c>
      <c r="D46" t="s">
        <v>8</v>
      </c>
      <c r="E46">
        <v>2025</v>
      </c>
      <c r="F46" t="s">
        <v>34</v>
      </c>
      <c r="G46">
        <f>TimeSeries!D10</f>
        <v>1.7603256662912507E-2</v>
      </c>
      <c r="H46" t="s">
        <v>39</v>
      </c>
    </row>
    <row r="47" spans="1:8" x14ac:dyDescent="0.35">
      <c r="A47" t="s">
        <v>35</v>
      </c>
      <c r="B47" t="s">
        <v>23</v>
      </c>
      <c r="C47" t="s">
        <v>12</v>
      </c>
      <c r="D47" t="s">
        <v>8</v>
      </c>
      <c r="E47">
        <v>2030</v>
      </c>
      <c r="F47" t="s">
        <v>34</v>
      </c>
      <c r="G47">
        <f>TimeSeries!E10</f>
        <v>1.0059003807378576E-2</v>
      </c>
      <c r="H47" t="s">
        <v>39</v>
      </c>
    </row>
    <row r="48" spans="1:8" x14ac:dyDescent="0.35">
      <c r="A48" t="s">
        <v>35</v>
      </c>
      <c r="B48" t="s">
        <v>23</v>
      </c>
      <c r="C48" t="s">
        <v>12</v>
      </c>
      <c r="D48" t="s">
        <v>8</v>
      </c>
      <c r="E48">
        <v>2035</v>
      </c>
      <c r="F48" t="s">
        <v>34</v>
      </c>
      <c r="G48">
        <f>TimeSeries!F10</f>
        <v>6.2868773796116093E-3</v>
      </c>
      <c r="H48" t="s">
        <v>39</v>
      </c>
    </row>
    <row r="49" spans="1:8" x14ac:dyDescent="0.35">
      <c r="A49" t="s">
        <v>35</v>
      </c>
      <c r="B49" t="s">
        <v>23</v>
      </c>
      <c r="C49" t="s">
        <v>12</v>
      </c>
      <c r="D49" t="s">
        <v>8</v>
      </c>
      <c r="E49">
        <v>2040</v>
      </c>
      <c r="F49" t="s">
        <v>34</v>
      </c>
      <c r="G49">
        <f>TimeSeries!G10</f>
        <v>3.7721264277669657E-3</v>
      </c>
      <c r="H49" t="s">
        <v>39</v>
      </c>
    </row>
    <row r="50" spans="1:8" x14ac:dyDescent="0.35">
      <c r="A50" t="s">
        <v>35</v>
      </c>
      <c r="B50" t="s">
        <v>23</v>
      </c>
      <c r="C50" t="s">
        <v>12</v>
      </c>
      <c r="D50" t="s">
        <v>8</v>
      </c>
      <c r="E50">
        <v>2045</v>
      </c>
      <c r="F50" t="s">
        <v>34</v>
      </c>
      <c r="G50">
        <f>TimeSeries!G10</f>
        <v>3.7721264277669657E-3</v>
      </c>
      <c r="H50" t="s">
        <v>39</v>
      </c>
    </row>
    <row r="51" spans="1:8" x14ac:dyDescent="0.35">
      <c r="A51" t="s">
        <v>35</v>
      </c>
      <c r="B51" t="s">
        <v>23</v>
      </c>
      <c r="C51" t="s">
        <v>12</v>
      </c>
      <c r="D51" t="s">
        <v>8</v>
      </c>
      <c r="E51">
        <v>2050</v>
      </c>
      <c r="F51" t="s">
        <v>34</v>
      </c>
      <c r="G51">
        <f>TimeSeries!G10</f>
        <v>3.7721264277669657E-3</v>
      </c>
      <c r="H51" t="s">
        <v>39</v>
      </c>
    </row>
    <row r="52" spans="1:8" x14ac:dyDescent="0.35">
      <c r="A52" t="s">
        <v>35</v>
      </c>
      <c r="B52" t="s">
        <v>23</v>
      </c>
      <c r="C52" t="s">
        <v>12</v>
      </c>
      <c r="D52" t="s">
        <v>8</v>
      </c>
      <c r="E52">
        <v>2020</v>
      </c>
      <c r="F52" t="s">
        <v>26</v>
      </c>
      <c r="G52">
        <f>TimeSeries!C18</f>
        <v>2.2084957448175579E-2</v>
      </c>
      <c r="H52" t="s">
        <v>39</v>
      </c>
    </row>
    <row r="53" spans="1:8" x14ac:dyDescent="0.35">
      <c r="A53" t="s">
        <v>35</v>
      </c>
      <c r="B53" t="s">
        <v>23</v>
      </c>
      <c r="C53" t="s">
        <v>12</v>
      </c>
      <c r="D53" t="s">
        <v>8</v>
      </c>
      <c r="E53">
        <v>2025</v>
      </c>
      <c r="F53" t="s">
        <v>26</v>
      </c>
      <c r="G53">
        <f>TimeSeries!D18</f>
        <v>1.4723304965450384E-2</v>
      </c>
      <c r="H53" t="s">
        <v>39</v>
      </c>
    </row>
    <row r="54" spans="1:8" x14ac:dyDescent="0.35">
      <c r="A54" t="s">
        <v>35</v>
      </c>
      <c r="B54" t="s">
        <v>23</v>
      </c>
      <c r="C54" t="s">
        <v>12</v>
      </c>
      <c r="D54" t="s">
        <v>8</v>
      </c>
      <c r="E54">
        <v>2030</v>
      </c>
      <c r="F54" t="s">
        <v>26</v>
      </c>
      <c r="G54">
        <f>TimeSeries!E18</f>
        <v>8.4133171231145065E-3</v>
      </c>
      <c r="H54" t="s">
        <v>39</v>
      </c>
    </row>
    <row r="55" spans="1:8" x14ac:dyDescent="0.35">
      <c r="A55" t="s">
        <v>35</v>
      </c>
      <c r="B55" t="s">
        <v>23</v>
      </c>
      <c r="C55" t="s">
        <v>12</v>
      </c>
      <c r="D55" t="s">
        <v>8</v>
      </c>
      <c r="E55">
        <v>2035</v>
      </c>
      <c r="F55" t="s">
        <v>26</v>
      </c>
      <c r="G55">
        <f>TimeSeries!F18</f>
        <v>5.2583232019465659E-3</v>
      </c>
      <c r="H55" t="s">
        <v>39</v>
      </c>
    </row>
    <row r="56" spans="1:8" x14ac:dyDescent="0.35">
      <c r="A56" t="s">
        <v>35</v>
      </c>
      <c r="B56" t="s">
        <v>23</v>
      </c>
      <c r="C56" t="s">
        <v>12</v>
      </c>
      <c r="D56" t="s">
        <v>8</v>
      </c>
      <c r="E56">
        <v>2040</v>
      </c>
      <c r="F56" t="s">
        <v>26</v>
      </c>
      <c r="G56">
        <f>TimeSeries!G18</f>
        <v>3.1549939211679397E-3</v>
      </c>
      <c r="H56" t="s">
        <v>39</v>
      </c>
    </row>
    <row r="57" spans="1:8" x14ac:dyDescent="0.35">
      <c r="A57" t="s">
        <v>35</v>
      </c>
      <c r="B57" t="s">
        <v>23</v>
      </c>
      <c r="C57" t="s">
        <v>12</v>
      </c>
      <c r="D57" t="s">
        <v>8</v>
      </c>
      <c r="E57">
        <v>2045</v>
      </c>
      <c r="F57" t="s">
        <v>26</v>
      </c>
      <c r="G57">
        <f>TimeSeries!G18</f>
        <v>3.1549939211679397E-3</v>
      </c>
      <c r="H57" t="s">
        <v>39</v>
      </c>
    </row>
    <row r="58" spans="1:8" x14ac:dyDescent="0.35">
      <c r="A58" t="s">
        <v>35</v>
      </c>
      <c r="B58" t="s">
        <v>23</v>
      </c>
      <c r="C58" t="s">
        <v>12</v>
      </c>
      <c r="D58" t="s">
        <v>8</v>
      </c>
      <c r="E58">
        <v>2050</v>
      </c>
      <c r="F58" t="s">
        <v>26</v>
      </c>
      <c r="G58">
        <f>TimeSeries!G18</f>
        <v>3.1549939211679397E-3</v>
      </c>
      <c r="H58" t="s">
        <v>39</v>
      </c>
    </row>
    <row r="59" spans="1:8" x14ac:dyDescent="0.35">
      <c r="A59" t="s">
        <v>35</v>
      </c>
      <c r="B59" t="s">
        <v>23</v>
      </c>
      <c r="C59" t="s">
        <v>12</v>
      </c>
      <c r="D59" t="s">
        <v>8</v>
      </c>
      <c r="E59">
        <v>2020</v>
      </c>
      <c r="F59" t="s">
        <v>32</v>
      </c>
      <c r="G59">
        <f>TimeSeries!C14</f>
        <v>4.58341754920027E-2</v>
      </c>
      <c r="H59" t="s">
        <v>39</v>
      </c>
    </row>
    <row r="60" spans="1:8" x14ac:dyDescent="0.35">
      <c r="A60" t="s">
        <v>35</v>
      </c>
      <c r="B60" t="s">
        <v>23</v>
      </c>
      <c r="C60" t="s">
        <v>12</v>
      </c>
      <c r="D60" t="s">
        <v>8</v>
      </c>
      <c r="E60">
        <v>2025</v>
      </c>
      <c r="F60" t="s">
        <v>32</v>
      </c>
      <c r="G60">
        <f>TimeSeries!D14</f>
        <v>2.957043580129206E-2</v>
      </c>
      <c r="H60" t="s">
        <v>39</v>
      </c>
    </row>
    <row r="61" spans="1:8" x14ac:dyDescent="0.35">
      <c r="A61" t="s">
        <v>35</v>
      </c>
      <c r="B61" t="s">
        <v>23</v>
      </c>
      <c r="C61" t="s">
        <v>12</v>
      </c>
      <c r="D61" t="s">
        <v>8</v>
      </c>
      <c r="E61">
        <v>2030</v>
      </c>
      <c r="F61" t="s">
        <v>32</v>
      </c>
      <c r="G61">
        <f>TimeSeries!E14</f>
        <v>1.7742261480775234E-2</v>
      </c>
      <c r="H61" t="s">
        <v>39</v>
      </c>
    </row>
    <row r="62" spans="1:8" x14ac:dyDescent="0.35">
      <c r="A62" t="s">
        <v>35</v>
      </c>
      <c r="B62" t="s">
        <v>23</v>
      </c>
      <c r="C62" t="s">
        <v>12</v>
      </c>
      <c r="D62" t="s">
        <v>8</v>
      </c>
      <c r="E62">
        <v>2035</v>
      </c>
      <c r="F62" t="s">
        <v>32</v>
      </c>
      <c r="G62">
        <f>TimeSeries!F14</f>
        <v>1.0349652530452219E-2</v>
      </c>
      <c r="H62" t="s">
        <v>39</v>
      </c>
    </row>
    <row r="63" spans="1:8" x14ac:dyDescent="0.35">
      <c r="A63" t="s">
        <v>35</v>
      </c>
      <c r="B63" t="s">
        <v>23</v>
      </c>
      <c r="C63" t="s">
        <v>12</v>
      </c>
      <c r="D63" t="s">
        <v>8</v>
      </c>
      <c r="E63">
        <v>2040</v>
      </c>
      <c r="F63" t="s">
        <v>32</v>
      </c>
      <c r="G63">
        <f>TimeSeries!G14</f>
        <v>7.3926089503230149E-3</v>
      </c>
      <c r="H63" t="s">
        <v>39</v>
      </c>
    </row>
    <row r="64" spans="1:8" x14ac:dyDescent="0.35">
      <c r="A64" t="s">
        <v>35</v>
      </c>
      <c r="B64" t="s">
        <v>23</v>
      </c>
      <c r="C64" t="s">
        <v>12</v>
      </c>
      <c r="D64" t="s">
        <v>8</v>
      </c>
      <c r="E64">
        <v>2045</v>
      </c>
      <c r="F64" t="s">
        <v>32</v>
      </c>
      <c r="G64">
        <f>TimeSeries!G14</f>
        <v>7.3926089503230149E-3</v>
      </c>
      <c r="H64" t="s">
        <v>39</v>
      </c>
    </row>
    <row r="65" spans="1:8" x14ac:dyDescent="0.35">
      <c r="A65" t="s">
        <v>35</v>
      </c>
      <c r="B65" t="s">
        <v>23</v>
      </c>
      <c r="C65" t="s">
        <v>12</v>
      </c>
      <c r="D65" t="s">
        <v>8</v>
      </c>
      <c r="E65">
        <v>2050</v>
      </c>
      <c r="F65" t="s">
        <v>32</v>
      </c>
      <c r="G65">
        <f>TimeSeries!G14</f>
        <v>7.3926089503230149E-3</v>
      </c>
      <c r="H65" t="s">
        <v>39</v>
      </c>
    </row>
    <row r="66" spans="1:8" x14ac:dyDescent="0.35">
      <c r="A66" t="s">
        <v>35</v>
      </c>
      <c r="B66" t="s">
        <v>7</v>
      </c>
      <c r="C66" t="s">
        <v>11</v>
      </c>
      <c r="D66" t="s">
        <v>10</v>
      </c>
      <c r="E66">
        <v>2020</v>
      </c>
      <c r="F66" t="s">
        <v>9</v>
      </c>
      <c r="G66">
        <f>TimeSeries!C5</f>
        <v>0.92651453626744729</v>
      </c>
      <c r="H66" t="s">
        <v>39</v>
      </c>
    </row>
    <row r="67" spans="1:8" x14ac:dyDescent="0.35">
      <c r="A67" t="s">
        <v>35</v>
      </c>
      <c r="B67" t="s">
        <v>7</v>
      </c>
      <c r="C67" t="s">
        <v>11</v>
      </c>
      <c r="D67" t="s">
        <v>10</v>
      </c>
      <c r="E67">
        <v>2025</v>
      </c>
      <c r="F67" t="s">
        <v>9</v>
      </c>
      <c r="G67">
        <f>TimeSeries!D5</f>
        <v>0.70138016296881522</v>
      </c>
      <c r="H67" t="s">
        <v>39</v>
      </c>
    </row>
    <row r="68" spans="1:8" x14ac:dyDescent="0.35">
      <c r="A68" t="s">
        <v>35</v>
      </c>
      <c r="B68" t="s">
        <v>7</v>
      </c>
      <c r="C68" t="s">
        <v>11</v>
      </c>
      <c r="D68" t="s">
        <v>10</v>
      </c>
      <c r="E68">
        <v>2030</v>
      </c>
      <c r="F68" t="s">
        <v>9</v>
      </c>
      <c r="G68">
        <f>TimeSeries!E5</f>
        <v>0.51954086145838163</v>
      </c>
      <c r="H68" t="s">
        <v>39</v>
      </c>
    </row>
    <row r="69" spans="1:8" x14ac:dyDescent="0.35">
      <c r="A69" t="s">
        <v>35</v>
      </c>
      <c r="B69" t="s">
        <v>7</v>
      </c>
      <c r="C69" t="s">
        <v>11</v>
      </c>
      <c r="D69" t="s">
        <v>10</v>
      </c>
      <c r="E69">
        <v>2035</v>
      </c>
      <c r="F69" t="s">
        <v>9</v>
      </c>
      <c r="G69">
        <f>TimeSeries!F5</f>
        <v>0.37233761737850685</v>
      </c>
      <c r="H69" t="s">
        <v>39</v>
      </c>
    </row>
    <row r="70" spans="1:8" x14ac:dyDescent="0.35">
      <c r="A70" t="s">
        <v>35</v>
      </c>
      <c r="B70" t="s">
        <v>7</v>
      </c>
      <c r="C70" t="s">
        <v>11</v>
      </c>
      <c r="D70" t="s">
        <v>10</v>
      </c>
      <c r="E70">
        <v>2040</v>
      </c>
      <c r="F70" t="s">
        <v>9</v>
      </c>
      <c r="G70">
        <f>TimeSeries!G5</f>
        <v>0.27708845944447019</v>
      </c>
      <c r="H70" t="s">
        <v>39</v>
      </c>
    </row>
    <row r="71" spans="1:8" x14ac:dyDescent="0.35">
      <c r="A71" t="s">
        <v>35</v>
      </c>
      <c r="B71" t="s">
        <v>7</v>
      </c>
      <c r="C71" t="s">
        <v>11</v>
      </c>
      <c r="D71" t="s">
        <v>10</v>
      </c>
      <c r="E71">
        <v>2045</v>
      </c>
      <c r="F71" t="s">
        <v>9</v>
      </c>
      <c r="G71">
        <f>TimeSeries!G5</f>
        <v>0.27708845944447019</v>
      </c>
      <c r="H71" t="s">
        <v>39</v>
      </c>
    </row>
    <row r="72" spans="1:8" x14ac:dyDescent="0.35">
      <c r="A72" t="s">
        <v>35</v>
      </c>
      <c r="B72" t="s">
        <v>7</v>
      </c>
      <c r="C72" t="s">
        <v>11</v>
      </c>
      <c r="D72" t="s">
        <v>10</v>
      </c>
      <c r="E72">
        <v>2050</v>
      </c>
      <c r="F72" t="s">
        <v>9</v>
      </c>
      <c r="G72">
        <f>TimeSeries!G5</f>
        <v>0.27708845944447019</v>
      </c>
      <c r="H72" t="s">
        <v>39</v>
      </c>
    </row>
    <row r="73" spans="1:8" x14ac:dyDescent="0.35">
      <c r="A73" t="s">
        <v>35</v>
      </c>
      <c r="B73" t="s">
        <v>7</v>
      </c>
      <c r="C73" t="s">
        <v>11</v>
      </c>
      <c r="D73" t="s">
        <v>10</v>
      </c>
      <c r="E73">
        <v>2020</v>
      </c>
      <c r="F73" t="s">
        <v>34</v>
      </c>
      <c r="G73">
        <f>TimeSeries!C9</f>
        <v>2.7134688338299899E-2</v>
      </c>
      <c r="H73" t="s">
        <v>39</v>
      </c>
    </row>
    <row r="74" spans="1:8" x14ac:dyDescent="0.35">
      <c r="A74" t="s">
        <v>35</v>
      </c>
      <c r="B74" t="s">
        <v>7</v>
      </c>
      <c r="C74" t="s">
        <v>11</v>
      </c>
      <c r="D74" t="s">
        <v>10</v>
      </c>
      <c r="E74">
        <v>2025</v>
      </c>
      <c r="F74" t="s">
        <v>34</v>
      </c>
      <c r="G74">
        <f>TimeSeries!D9</f>
        <v>1.953697560357593E-2</v>
      </c>
      <c r="H74" t="s">
        <v>39</v>
      </c>
    </row>
    <row r="75" spans="1:8" x14ac:dyDescent="0.35">
      <c r="A75" t="s">
        <v>35</v>
      </c>
      <c r="B75" t="s">
        <v>7</v>
      </c>
      <c r="C75" t="s">
        <v>11</v>
      </c>
      <c r="D75" t="s">
        <v>10</v>
      </c>
      <c r="E75">
        <v>2030</v>
      </c>
      <c r="F75" t="s">
        <v>34</v>
      </c>
      <c r="G75">
        <f>TimeSeries!E9</f>
        <v>1.3024650402383951E-2</v>
      </c>
      <c r="H75" t="s">
        <v>39</v>
      </c>
    </row>
    <row r="76" spans="1:8" x14ac:dyDescent="0.35">
      <c r="A76" t="s">
        <v>35</v>
      </c>
      <c r="B76" t="s">
        <v>7</v>
      </c>
      <c r="C76" t="s">
        <v>11</v>
      </c>
      <c r="D76" t="s">
        <v>10</v>
      </c>
      <c r="E76">
        <v>2035</v>
      </c>
      <c r="F76" t="s">
        <v>34</v>
      </c>
      <c r="G76">
        <f>TimeSeries!F9</f>
        <v>8.6831002682559687E-3</v>
      </c>
      <c r="H76" t="s">
        <v>39</v>
      </c>
    </row>
    <row r="77" spans="1:8" x14ac:dyDescent="0.35">
      <c r="A77" t="s">
        <v>35</v>
      </c>
      <c r="B77" t="s">
        <v>7</v>
      </c>
      <c r="C77" t="s">
        <v>11</v>
      </c>
      <c r="D77" t="s">
        <v>10</v>
      </c>
      <c r="E77">
        <v>2040</v>
      </c>
      <c r="F77" t="s">
        <v>34</v>
      </c>
      <c r="G77">
        <f>TimeSeries!G9</f>
        <v>5.4269376676599791E-3</v>
      </c>
      <c r="H77" t="s">
        <v>39</v>
      </c>
    </row>
    <row r="78" spans="1:8" x14ac:dyDescent="0.35">
      <c r="A78" t="s">
        <v>35</v>
      </c>
      <c r="B78" t="s">
        <v>7</v>
      </c>
      <c r="C78" t="s">
        <v>11</v>
      </c>
      <c r="D78" t="s">
        <v>10</v>
      </c>
      <c r="E78">
        <v>2045</v>
      </c>
      <c r="F78" t="s">
        <v>34</v>
      </c>
      <c r="G78">
        <f>TimeSeries!G9</f>
        <v>5.4269376676599791E-3</v>
      </c>
      <c r="H78" t="s">
        <v>39</v>
      </c>
    </row>
    <row r="79" spans="1:8" x14ac:dyDescent="0.35">
      <c r="A79" t="s">
        <v>35</v>
      </c>
      <c r="B79" t="s">
        <v>7</v>
      </c>
      <c r="C79" t="s">
        <v>11</v>
      </c>
      <c r="D79" t="s">
        <v>10</v>
      </c>
      <c r="E79">
        <v>2050</v>
      </c>
      <c r="F79" t="s">
        <v>34</v>
      </c>
      <c r="G79">
        <f>TimeSeries!G9</f>
        <v>5.4269376676599791E-3</v>
      </c>
      <c r="H79" t="s">
        <v>39</v>
      </c>
    </row>
    <row r="80" spans="1:8" x14ac:dyDescent="0.35">
      <c r="A80" t="s">
        <v>35</v>
      </c>
      <c r="B80" t="s">
        <v>7</v>
      </c>
      <c r="C80" t="s">
        <v>11</v>
      </c>
      <c r="D80" t="s">
        <v>10</v>
      </c>
      <c r="E80">
        <v>2020</v>
      </c>
      <c r="F80" t="s">
        <v>26</v>
      </c>
      <c r="G80">
        <f>TimeSeries!C17</f>
        <v>2.5540282161269613E-2</v>
      </c>
      <c r="H80" t="s">
        <v>39</v>
      </c>
    </row>
    <row r="81" spans="1:8" x14ac:dyDescent="0.35">
      <c r="A81" t="s">
        <v>35</v>
      </c>
      <c r="B81" t="s">
        <v>7</v>
      </c>
      <c r="C81" t="s">
        <v>11</v>
      </c>
      <c r="D81" t="s">
        <v>10</v>
      </c>
      <c r="E81">
        <v>2025</v>
      </c>
      <c r="F81" t="s">
        <v>26</v>
      </c>
      <c r="G81">
        <f>TimeSeries!D17</f>
        <v>1.8389003156114126E-2</v>
      </c>
      <c r="H81" t="s">
        <v>39</v>
      </c>
    </row>
    <row r="82" spans="1:8" x14ac:dyDescent="0.35">
      <c r="A82" t="s">
        <v>35</v>
      </c>
      <c r="B82" t="s">
        <v>7</v>
      </c>
      <c r="C82" t="s">
        <v>11</v>
      </c>
      <c r="D82" t="s">
        <v>10</v>
      </c>
      <c r="E82">
        <v>2030</v>
      </c>
      <c r="F82" t="s">
        <v>26</v>
      </c>
      <c r="G82">
        <f>TimeSeries!E17</f>
        <v>1.2259335437409417E-2</v>
      </c>
      <c r="H82" t="s">
        <v>39</v>
      </c>
    </row>
    <row r="83" spans="1:8" x14ac:dyDescent="0.35">
      <c r="A83" t="s">
        <v>35</v>
      </c>
      <c r="B83" t="s">
        <v>7</v>
      </c>
      <c r="C83" t="s">
        <v>11</v>
      </c>
      <c r="D83" t="s">
        <v>10</v>
      </c>
      <c r="E83">
        <v>2035</v>
      </c>
      <c r="F83" t="s">
        <v>26</v>
      </c>
      <c r="G83">
        <f>TimeSeries!F17</f>
        <v>8.1728902916062777E-3</v>
      </c>
      <c r="H83" t="s">
        <v>39</v>
      </c>
    </row>
    <row r="84" spans="1:8" x14ac:dyDescent="0.35">
      <c r="A84" t="s">
        <v>35</v>
      </c>
      <c r="B84" t="s">
        <v>7</v>
      </c>
      <c r="C84" t="s">
        <v>11</v>
      </c>
      <c r="D84" t="s">
        <v>10</v>
      </c>
      <c r="E84">
        <v>2040</v>
      </c>
      <c r="F84" t="s">
        <v>26</v>
      </c>
      <c r="G84">
        <f>TimeSeries!G17</f>
        <v>5.1080564322539233E-3</v>
      </c>
      <c r="H84" t="s">
        <v>39</v>
      </c>
    </row>
    <row r="85" spans="1:8" x14ac:dyDescent="0.35">
      <c r="A85" t="s">
        <v>35</v>
      </c>
      <c r="B85" t="s">
        <v>7</v>
      </c>
      <c r="C85" t="s">
        <v>11</v>
      </c>
      <c r="D85" t="s">
        <v>10</v>
      </c>
      <c r="E85">
        <v>2045</v>
      </c>
      <c r="F85" t="s">
        <v>26</v>
      </c>
      <c r="G85">
        <f>TimeSeries!G17</f>
        <v>5.1080564322539233E-3</v>
      </c>
      <c r="H85" t="s">
        <v>39</v>
      </c>
    </row>
    <row r="86" spans="1:8" x14ac:dyDescent="0.35">
      <c r="A86" t="s">
        <v>35</v>
      </c>
      <c r="B86" t="s">
        <v>7</v>
      </c>
      <c r="C86" t="s">
        <v>11</v>
      </c>
      <c r="D86" t="s">
        <v>10</v>
      </c>
      <c r="E86">
        <v>2050</v>
      </c>
      <c r="F86" t="s">
        <v>26</v>
      </c>
      <c r="G86">
        <f>TimeSeries!G17</f>
        <v>5.1080564322539233E-3</v>
      </c>
      <c r="H86" t="s">
        <v>39</v>
      </c>
    </row>
    <row r="87" spans="1:8" x14ac:dyDescent="0.35">
      <c r="A87" t="s">
        <v>35</v>
      </c>
      <c r="B87" t="s">
        <v>7</v>
      </c>
      <c r="C87" t="s">
        <v>11</v>
      </c>
      <c r="D87" t="s">
        <v>10</v>
      </c>
      <c r="E87">
        <v>2020</v>
      </c>
      <c r="F87" t="s">
        <v>32</v>
      </c>
      <c r="G87">
        <f>TimeSeries!C13</f>
        <v>5.5633251245453971E-2</v>
      </c>
      <c r="H87" t="s">
        <v>39</v>
      </c>
    </row>
    <row r="88" spans="1:8" x14ac:dyDescent="0.35">
      <c r="A88" t="s">
        <v>35</v>
      </c>
      <c r="B88" t="s">
        <v>7</v>
      </c>
      <c r="C88" t="s">
        <v>11</v>
      </c>
      <c r="D88" t="s">
        <v>10</v>
      </c>
      <c r="E88">
        <v>2025</v>
      </c>
      <c r="F88" t="s">
        <v>32</v>
      </c>
      <c r="G88">
        <f>TimeSeries!D13</f>
        <v>4.1062637824025548E-2</v>
      </c>
      <c r="H88" t="s">
        <v>39</v>
      </c>
    </row>
    <row r="89" spans="1:8" x14ac:dyDescent="0.35">
      <c r="A89" t="s">
        <v>35</v>
      </c>
      <c r="B89" t="s">
        <v>7</v>
      </c>
      <c r="C89" t="s">
        <v>11</v>
      </c>
      <c r="D89" t="s">
        <v>10</v>
      </c>
      <c r="E89">
        <v>2030</v>
      </c>
      <c r="F89" t="s">
        <v>32</v>
      </c>
      <c r="G89">
        <f>TimeSeries!E13</f>
        <v>3.0465828062986693E-2</v>
      </c>
      <c r="H89" t="s">
        <v>39</v>
      </c>
    </row>
    <row r="90" spans="1:8" x14ac:dyDescent="0.35">
      <c r="A90" t="s">
        <v>35</v>
      </c>
      <c r="B90" t="s">
        <v>7</v>
      </c>
      <c r="C90" t="s">
        <v>11</v>
      </c>
      <c r="D90" t="s">
        <v>10</v>
      </c>
      <c r="E90">
        <v>2035</v>
      </c>
      <c r="F90" t="s">
        <v>32</v>
      </c>
      <c r="G90">
        <f>TimeSeries!F13</f>
        <v>2.2518220742207558E-2</v>
      </c>
      <c r="H90" t="s">
        <v>39</v>
      </c>
    </row>
    <row r="91" spans="1:8" x14ac:dyDescent="0.35">
      <c r="A91" t="s">
        <v>35</v>
      </c>
      <c r="B91" t="s">
        <v>7</v>
      </c>
      <c r="C91" t="s">
        <v>11</v>
      </c>
      <c r="D91" t="s">
        <v>10</v>
      </c>
      <c r="E91">
        <v>2040</v>
      </c>
      <c r="F91" t="s">
        <v>32</v>
      </c>
      <c r="G91">
        <f>TimeSeries!G13</f>
        <v>1.7219815861688133E-2</v>
      </c>
      <c r="H91" t="s">
        <v>39</v>
      </c>
    </row>
    <row r="92" spans="1:8" x14ac:dyDescent="0.35">
      <c r="A92" t="s">
        <v>35</v>
      </c>
      <c r="B92" t="s">
        <v>7</v>
      </c>
      <c r="C92" t="s">
        <v>11</v>
      </c>
      <c r="D92" t="s">
        <v>10</v>
      </c>
      <c r="E92">
        <v>2045</v>
      </c>
      <c r="F92" t="s">
        <v>32</v>
      </c>
      <c r="G92">
        <f>TimeSeries!G13</f>
        <v>1.7219815861688133E-2</v>
      </c>
      <c r="H92" t="s">
        <v>39</v>
      </c>
    </row>
    <row r="93" spans="1:8" x14ac:dyDescent="0.35">
      <c r="A93" t="s">
        <v>35</v>
      </c>
      <c r="B93" t="s">
        <v>7</v>
      </c>
      <c r="C93" t="s">
        <v>11</v>
      </c>
      <c r="D93" t="s">
        <v>10</v>
      </c>
      <c r="E93">
        <v>2050</v>
      </c>
      <c r="F93" t="s">
        <v>32</v>
      </c>
      <c r="G93">
        <f>TimeSeries!G13</f>
        <v>1.7219815861688133E-2</v>
      </c>
      <c r="H93" t="s">
        <v>39</v>
      </c>
    </row>
    <row r="94" spans="1:8" x14ac:dyDescent="0.35">
      <c r="A94" t="s">
        <v>35</v>
      </c>
      <c r="B94" t="s">
        <v>23</v>
      </c>
      <c r="C94" t="s">
        <v>12</v>
      </c>
      <c r="D94" t="s">
        <v>10</v>
      </c>
      <c r="E94">
        <v>2020</v>
      </c>
      <c r="F94" t="s">
        <v>9</v>
      </c>
      <c r="G94">
        <f>TimeSeries!C6</f>
        <v>0.84217427974380377</v>
      </c>
      <c r="H94" t="s">
        <v>39</v>
      </c>
    </row>
    <row r="95" spans="1:8" x14ac:dyDescent="0.35">
      <c r="A95" t="s">
        <v>35</v>
      </c>
      <c r="B95" t="s">
        <v>23</v>
      </c>
      <c r="C95" t="s">
        <v>12</v>
      </c>
      <c r="D95" t="s">
        <v>10</v>
      </c>
      <c r="E95">
        <v>2025</v>
      </c>
      <c r="F95" t="s">
        <v>9</v>
      </c>
      <c r="G95">
        <f>TimeSeries!D6</f>
        <v>0.61578334432880277</v>
      </c>
      <c r="H95" t="s">
        <v>39</v>
      </c>
    </row>
    <row r="96" spans="1:8" x14ac:dyDescent="0.35">
      <c r="A96" t="s">
        <v>35</v>
      </c>
      <c r="B96" t="s">
        <v>23</v>
      </c>
      <c r="C96" t="s">
        <v>12</v>
      </c>
      <c r="D96" t="s">
        <v>10</v>
      </c>
      <c r="E96">
        <v>2030</v>
      </c>
      <c r="F96" t="s">
        <v>9</v>
      </c>
      <c r="G96">
        <f>TimeSeries!E6</f>
        <v>0.44372623341340206</v>
      </c>
      <c r="H96" t="s">
        <v>39</v>
      </c>
    </row>
    <row r="97" spans="1:8" x14ac:dyDescent="0.35">
      <c r="A97" t="s">
        <v>35</v>
      </c>
      <c r="B97" t="s">
        <v>23</v>
      </c>
      <c r="C97" t="s">
        <v>12</v>
      </c>
      <c r="D97" t="s">
        <v>10</v>
      </c>
      <c r="E97">
        <v>2035</v>
      </c>
      <c r="F97" t="s">
        <v>9</v>
      </c>
      <c r="G97">
        <f>TimeSeries!F6</f>
        <v>0.29883603474780135</v>
      </c>
      <c r="H97" t="s">
        <v>39</v>
      </c>
    </row>
    <row r="98" spans="1:8" x14ac:dyDescent="0.35">
      <c r="A98" t="s">
        <v>35</v>
      </c>
      <c r="B98" t="s">
        <v>23</v>
      </c>
      <c r="C98" t="s">
        <v>12</v>
      </c>
      <c r="D98" t="s">
        <v>10</v>
      </c>
      <c r="E98">
        <v>2040</v>
      </c>
      <c r="F98" t="s">
        <v>9</v>
      </c>
      <c r="G98">
        <f>TimeSeries!G5</f>
        <v>0.27708845944447019</v>
      </c>
      <c r="H98" t="s">
        <v>39</v>
      </c>
    </row>
    <row r="99" spans="1:8" x14ac:dyDescent="0.35">
      <c r="A99" t="s">
        <v>35</v>
      </c>
      <c r="B99" t="s">
        <v>23</v>
      </c>
      <c r="C99" t="s">
        <v>12</v>
      </c>
      <c r="D99" t="s">
        <v>10</v>
      </c>
      <c r="E99">
        <v>2045</v>
      </c>
      <c r="F99" t="s">
        <v>9</v>
      </c>
      <c r="G99">
        <f>TimeSeries!G5</f>
        <v>0.27708845944447019</v>
      </c>
      <c r="H99" t="s">
        <v>39</v>
      </c>
    </row>
    <row r="100" spans="1:8" x14ac:dyDescent="0.35">
      <c r="A100" t="s">
        <v>35</v>
      </c>
      <c r="B100" t="s">
        <v>23</v>
      </c>
      <c r="C100" t="s">
        <v>12</v>
      </c>
      <c r="D100" t="s">
        <v>10</v>
      </c>
      <c r="E100">
        <v>2050</v>
      </c>
      <c r="F100" t="s">
        <v>9</v>
      </c>
      <c r="G100">
        <f>TimeSeries!G5</f>
        <v>0.27708845944447019</v>
      </c>
      <c r="H100" t="s">
        <v>39</v>
      </c>
    </row>
    <row r="101" spans="1:8" x14ac:dyDescent="0.35">
      <c r="A101" t="s">
        <v>35</v>
      </c>
      <c r="B101" t="s">
        <v>23</v>
      </c>
      <c r="C101" t="s">
        <v>12</v>
      </c>
      <c r="D101" t="s">
        <v>10</v>
      </c>
      <c r="E101">
        <v>2020</v>
      </c>
      <c r="F101" t="s">
        <v>34</v>
      </c>
      <c r="G101">
        <f>TimeSeries!C10</f>
        <v>2.6404884994368761E-2</v>
      </c>
      <c r="H101" t="s">
        <v>39</v>
      </c>
    </row>
    <row r="102" spans="1:8" x14ac:dyDescent="0.35">
      <c r="A102" t="s">
        <v>35</v>
      </c>
      <c r="B102" t="s">
        <v>23</v>
      </c>
      <c r="C102" t="s">
        <v>12</v>
      </c>
      <c r="D102" t="s">
        <v>10</v>
      </c>
      <c r="E102">
        <v>2025</v>
      </c>
      <c r="F102" t="s">
        <v>34</v>
      </c>
      <c r="G102">
        <f>TimeSeries!D10</f>
        <v>1.7603256662912507E-2</v>
      </c>
      <c r="H102" t="s">
        <v>39</v>
      </c>
    </row>
    <row r="103" spans="1:8" x14ac:dyDescent="0.35">
      <c r="A103" t="s">
        <v>35</v>
      </c>
      <c r="B103" t="s">
        <v>23</v>
      </c>
      <c r="C103" t="s">
        <v>12</v>
      </c>
      <c r="D103" t="s">
        <v>10</v>
      </c>
      <c r="E103">
        <v>2030</v>
      </c>
      <c r="F103" t="s">
        <v>34</v>
      </c>
      <c r="G103">
        <f>TimeSeries!E10</f>
        <v>1.0059003807378576E-2</v>
      </c>
      <c r="H103" t="s">
        <v>39</v>
      </c>
    </row>
    <row r="104" spans="1:8" x14ac:dyDescent="0.35">
      <c r="A104" t="s">
        <v>35</v>
      </c>
      <c r="B104" t="s">
        <v>23</v>
      </c>
      <c r="C104" t="s">
        <v>12</v>
      </c>
      <c r="D104" t="s">
        <v>10</v>
      </c>
      <c r="E104">
        <v>2035</v>
      </c>
      <c r="F104" t="s">
        <v>34</v>
      </c>
      <c r="G104">
        <f>TimeSeries!F10</f>
        <v>6.2868773796116093E-3</v>
      </c>
      <c r="H104" t="s">
        <v>39</v>
      </c>
    </row>
    <row r="105" spans="1:8" x14ac:dyDescent="0.35">
      <c r="A105" t="s">
        <v>35</v>
      </c>
      <c r="B105" t="s">
        <v>23</v>
      </c>
      <c r="C105" t="s">
        <v>12</v>
      </c>
      <c r="D105" t="s">
        <v>10</v>
      </c>
      <c r="E105">
        <v>2040</v>
      </c>
      <c r="F105" t="s">
        <v>34</v>
      </c>
      <c r="G105">
        <f>TimeSeries!G10</f>
        <v>3.7721264277669657E-3</v>
      </c>
      <c r="H105" t="s">
        <v>39</v>
      </c>
    </row>
    <row r="106" spans="1:8" x14ac:dyDescent="0.35">
      <c r="A106" t="s">
        <v>35</v>
      </c>
      <c r="B106" t="s">
        <v>23</v>
      </c>
      <c r="C106" t="s">
        <v>12</v>
      </c>
      <c r="D106" t="s">
        <v>10</v>
      </c>
      <c r="E106">
        <v>2045</v>
      </c>
      <c r="F106" t="s">
        <v>34</v>
      </c>
      <c r="G106">
        <f>TimeSeries!G10</f>
        <v>3.7721264277669657E-3</v>
      </c>
      <c r="H106" t="s">
        <v>39</v>
      </c>
    </row>
    <row r="107" spans="1:8" x14ac:dyDescent="0.35">
      <c r="A107" t="s">
        <v>35</v>
      </c>
      <c r="B107" t="s">
        <v>23</v>
      </c>
      <c r="C107" t="s">
        <v>12</v>
      </c>
      <c r="D107" t="s">
        <v>10</v>
      </c>
      <c r="E107">
        <v>2050</v>
      </c>
      <c r="F107" t="s">
        <v>34</v>
      </c>
      <c r="G107">
        <f>TimeSeries!G10</f>
        <v>3.7721264277669657E-3</v>
      </c>
      <c r="H107" t="s">
        <v>39</v>
      </c>
    </row>
    <row r="108" spans="1:8" x14ac:dyDescent="0.35">
      <c r="A108" t="s">
        <v>35</v>
      </c>
      <c r="B108" t="s">
        <v>23</v>
      </c>
      <c r="C108" t="s">
        <v>12</v>
      </c>
      <c r="D108" t="s">
        <v>10</v>
      </c>
      <c r="E108">
        <v>2020</v>
      </c>
      <c r="F108" t="s">
        <v>26</v>
      </c>
      <c r="G108">
        <f>TimeSeries!C18</f>
        <v>2.2084957448175579E-2</v>
      </c>
      <c r="H108" t="s">
        <v>39</v>
      </c>
    </row>
    <row r="109" spans="1:8" x14ac:dyDescent="0.35">
      <c r="A109" t="s">
        <v>35</v>
      </c>
      <c r="B109" t="s">
        <v>23</v>
      </c>
      <c r="C109" t="s">
        <v>12</v>
      </c>
      <c r="D109" t="s">
        <v>10</v>
      </c>
      <c r="E109">
        <v>2025</v>
      </c>
      <c r="F109" t="s">
        <v>26</v>
      </c>
      <c r="G109">
        <f>TimeSeries!D18</f>
        <v>1.4723304965450384E-2</v>
      </c>
      <c r="H109" t="s">
        <v>39</v>
      </c>
    </row>
    <row r="110" spans="1:8" x14ac:dyDescent="0.35">
      <c r="A110" t="s">
        <v>35</v>
      </c>
      <c r="B110" t="s">
        <v>23</v>
      </c>
      <c r="C110" t="s">
        <v>12</v>
      </c>
      <c r="D110" t="s">
        <v>10</v>
      </c>
      <c r="E110">
        <v>2030</v>
      </c>
      <c r="F110" t="s">
        <v>26</v>
      </c>
      <c r="G110">
        <f>TimeSeries!E18</f>
        <v>8.4133171231145065E-3</v>
      </c>
      <c r="H110" t="s">
        <v>39</v>
      </c>
    </row>
    <row r="111" spans="1:8" x14ac:dyDescent="0.35">
      <c r="A111" t="s">
        <v>35</v>
      </c>
      <c r="B111" t="s">
        <v>23</v>
      </c>
      <c r="C111" t="s">
        <v>12</v>
      </c>
      <c r="D111" t="s">
        <v>10</v>
      </c>
      <c r="E111">
        <v>2035</v>
      </c>
      <c r="F111" t="s">
        <v>26</v>
      </c>
      <c r="G111">
        <f>TimeSeries!F18</f>
        <v>5.2583232019465659E-3</v>
      </c>
      <c r="H111" t="s">
        <v>39</v>
      </c>
    </row>
    <row r="112" spans="1:8" x14ac:dyDescent="0.35">
      <c r="A112" t="s">
        <v>35</v>
      </c>
      <c r="B112" t="s">
        <v>23</v>
      </c>
      <c r="C112" t="s">
        <v>12</v>
      </c>
      <c r="D112" t="s">
        <v>10</v>
      </c>
      <c r="E112">
        <v>2040</v>
      </c>
      <c r="F112" t="s">
        <v>26</v>
      </c>
      <c r="G112">
        <f>TimeSeries!G18</f>
        <v>3.1549939211679397E-3</v>
      </c>
      <c r="H112" t="s">
        <v>39</v>
      </c>
    </row>
    <row r="113" spans="1:8" x14ac:dyDescent="0.35">
      <c r="A113" t="s">
        <v>35</v>
      </c>
      <c r="B113" t="s">
        <v>23</v>
      </c>
      <c r="C113" t="s">
        <v>12</v>
      </c>
      <c r="D113" t="s">
        <v>10</v>
      </c>
      <c r="E113">
        <v>2045</v>
      </c>
      <c r="F113" t="s">
        <v>26</v>
      </c>
      <c r="G113">
        <f>TimeSeries!G18</f>
        <v>3.1549939211679397E-3</v>
      </c>
      <c r="H113" t="s">
        <v>39</v>
      </c>
    </row>
    <row r="114" spans="1:8" x14ac:dyDescent="0.35">
      <c r="A114" t="s">
        <v>35</v>
      </c>
      <c r="B114" t="s">
        <v>23</v>
      </c>
      <c r="C114" t="s">
        <v>12</v>
      </c>
      <c r="D114" t="s">
        <v>10</v>
      </c>
      <c r="E114">
        <v>2050</v>
      </c>
      <c r="F114" t="s">
        <v>26</v>
      </c>
      <c r="G114">
        <f>TimeSeries!G18</f>
        <v>3.1549939211679397E-3</v>
      </c>
      <c r="H114" t="s">
        <v>39</v>
      </c>
    </row>
    <row r="115" spans="1:8" x14ac:dyDescent="0.35">
      <c r="A115" t="s">
        <v>35</v>
      </c>
      <c r="B115" t="s">
        <v>23</v>
      </c>
      <c r="C115" t="s">
        <v>12</v>
      </c>
      <c r="D115" t="s">
        <v>10</v>
      </c>
      <c r="E115">
        <v>2020</v>
      </c>
      <c r="F115" t="s">
        <v>32</v>
      </c>
      <c r="G115">
        <f>TimeSeries!C14</f>
        <v>4.58341754920027E-2</v>
      </c>
      <c r="H115" t="s">
        <v>39</v>
      </c>
    </row>
    <row r="116" spans="1:8" x14ac:dyDescent="0.35">
      <c r="A116" t="s">
        <v>35</v>
      </c>
      <c r="B116" t="s">
        <v>23</v>
      </c>
      <c r="C116" t="s">
        <v>12</v>
      </c>
      <c r="D116" t="s">
        <v>10</v>
      </c>
      <c r="E116">
        <v>2025</v>
      </c>
      <c r="F116" t="s">
        <v>32</v>
      </c>
      <c r="G116">
        <f>TimeSeries!D14</f>
        <v>2.957043580129206E-2</v>
      </c>
      <c r="H116" t="s">
        <v>39</v>
      </c>
    </row>
    <row r="117" spans="1:8" x14ac:dyDescent="0.35">
      <c r="A117" t="s">
        <v>35</v>
      </c>
      <c r="B117" t="s">
        <v>23</v>
      </c>
      <c r="C117" t="s">
        <v>12</v>
      </c>
      <c r="D117" t="s">
        <v>10</v>
      </c>
      <c r="E117">
        <v>2030</v>
      </c>
      <c r="F117" t="s">
        <v>32</v>
      </c>
      <c r="G117">
        <f>TimeSeries!E14</f>
        <v>1.7742261480775234E-2</v>
      </c>
      <c r="H117" t="s">
        <v>39</v>
      </c>
    </row>
    <row r="118" spans="1:8" x14ac:dyDescent="0.35">
      <c r="A118" t="s">
        <v>35</v>
      </c>
      <c r="B118" t="s">
        <v>23</v>
      </c>
      <c r="C118" t="s">
        <v>12</v>
      </c>
      <c r="D118" t="s">
        <v>10</v>
      </c>
      <c r="E118">
        <v>2035</v>
      </c>
      <c r="F118" t="s">
        <v>32</v>
      </c>
      <c r="G118">
        <f>TimeSeries!F14</f>
        <v>1.0349652530452219E-2</v>
      </c>
      <c r="H118" t="s">
        <v>39</v>
      </c>
    </row>
    <row r="119" spans="1:8" x14ac:dyDescent="0.35">
      <c r="A119" t="s">
        <v>35</v>
      </c>
      <c r="B119" t="s">
        <v>23</v>
      </c>
      <c r="C119" t="s">
        <v>12</v>
      </c>
      <c r="D119" t="s">
        <v>10</v>
      </c>
      <c r="E119">
        <v>2040</v>
      </c>
      <c r="F119" t="s">
        <v>32</v>
      </c>
      <c r="G119">
        <f>TimeSeries!G14</f>
        <v>7.3926089503230149E-3</v>
      </c>
      <c r="H119" t="s">
        <v>39</v>
      </c>
    </row>
    <row r="120" spans="1:8" x14ac:dyDescent="0.35">
      <c r="A120" t="s">
        <v>35</v>
      </c>
      <c r="B120" t="s">
        <v>23</v>
      </c>
      <c r="C120" t="s">
        <v>12</v>
      </c>
      <c r="D120" t="s">
        <v>10</v>
      </c>
      <c r="E120">
        <v>2045</v>
      </c>
      <c r="F120" t="s">
        <v>32</v>
      </c>
      <c r="G120">
        <f>TimeSeries!G14</f>
        <v>7.3926089503230149E-3</v>
      </c>
      <c r="H120" t="s">
        <v>39</v>
      </c>
    </row>
    <row r="121" spans="1:8" x14ac:dyDescent="0.35">
      <c r="A121" t="s">
        <v>35</v>
      </c>
      <c r="B121" t="s">
        <v>23</v>
      </c>
      <c r="C121" t="s">
        <v>12</v>
      </c>
      <c r="D121" t="s">
        <v>10</v>
      </c>
      <c r="E121">
        <v>2050</v>
      </c>
      <c r="F121" t="s">
        <v>32</v>
      </c>
      <c r="G121">
        <f>TimeSeries!G14</f>
        <v>7.3926089503230149E-3</v>
      </c>
      <c r="H12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15082-5FFB-45BB-9D43-3E356C31BFC3}">
  <dimension ref="A2:I18"/>
  <sheetViews>
    <sheetView workbookViewId="0">
      <selection activeCell="B5" sqref="B5"/>
    </sheetView>
  </sheetViews>
  <sheetFormatPr defaultRowHeight="14.5" x14ac:dyDescent="0.35"/>
  <sheetData>
    <row r="2" spans="1:9" x14ac:dyDescent="0.35">
      <c r="A2" t="s">
        <v>43</v>
      </c>
    </row>
    <row r="4" spans="1:9" x14ac:dyDescent="0.35">
      <c r="A4" t="s">
        <v>9</v>
      </c>
      <c r="B4">
        <v>2015</v>
      </c>
      <c r="C4">
        <v>2020</v>
      </c>
      <c r="D4">
        <v>2025</v>
      </c>
      <c r="E4">
        <v>2030</v>
      </c>
      <c r="F4">
        <v>2035</v>
      </c>
      <c r="G4">
        <v>2040</v>
      </c>
      <c r="H4">
        <v>2045</v>
      </c>
      <c r="I4">
        <v>2050</v>
      </c>
    </row>
    <row r="5" spans="1:9" x14ac:dyDescent="0.35">
      <c r="A5" t="s">
        <v>41</v>
      </c>
      <c r="B5">
        <f>InitData!J4</f>
        <v>1.186284966996638</v>
      </c>
      <c r="C5">
        <f>$B5*'Change over time'!C22</f>
        <v>0.92651453626744729</v>
      </c>
      <c r="D5">
        <f>$B5*'Change over time'!D22</f>
        <v>0.70138016296881522</v>
      </c>
      <c r="E5">
        <f>$B5*'Change over time'!E22</f>
        <v>0.51954086145838163</v>
      </c>
      <c r="F5">
        <f>$B5*'Change over time'!F22</f>
        <v>0.37233761737850685</v>
      </c>
      <c r="G5">
        <f>$B5*'Change over time'!G22</f>
        <v>0.27708845944447019</v>
      </c>
      <c r="H5">
        <f>$B5*'Change over time'!H22</f>
        <v>0.27708845944447019</v>
      </c>
      <c r="I5">
        <f>$B5*'Change over time'!I22</f>
        <v>0.27708845944447019</v>
      </c>
    </row>
    <row r="6" spans="1:9" x14ac:dyDescent="0.35">
      <c r="A6" t="s">
        <v>42</v>
      </c>
      <c r="B6">
        <f>InitData!J5</f>
        <v>1.1862885015746054</v>
      </c>
      <c r="C6">
        <f>$B6*'Change over time'!C23</f>
        <v>0.84217427974380377</v>
      </c>
      <c r="D6">
        <f>$B6*'Change over time'!D23</f>
        <v>0.61578334432880277</v>
      </c>
      <c r="E6">
        <f>$B6*'Change over time'!E23</f>
        <v>0.44372623341340206</v>
      </c>
      <c r="F6">
        <f>$B6*'Change over time'!F23</f>
        <v>0.29883603474780135</v>
      </c>
      <c r="G6">
        <f>$B6*'Change over time'!G23</f>
        <v>0.20827966058180095</v>
      </c>
      <c r="H6">
        <f>$B6*'Change over time'!H23</f>
        <v>0.20827966058180095</v>
      </c>
      <c r="I6">
        <f>$B6*'Change over time'!I23</f>
        <v>0.20827966058180095</v>
      </c>
    </row>
    <row r="8" spans="1:9" x14ac:dyDescent="0.35">
      <c r="A8" t="s">
        <v>34</v>
      </c>
      <c r="B8">
        <v>2015</v>
      </c>
      <c r="C8">
        <v>2020</v>
      </c>
      <c r="D8">
        <v>2025</v>
      </c>
      <c r="E8">
        <v>2030</v>
      </c>
      <c r="F8">
        <v>2035</v>
      </c>
      <c r="G8">
        <v>2040</v>
      </c>
      <c r="H8">
        <v>2045</v>
      </c>
      <c r="I8">
        <v>2050</v>
      </c>
    </row>
    <row r="9" spans="1:9" x14ac:dyDescent="0.35">
      <c r="A9" t="s">
        <v>41</v>
      </c>
      <c r="B9">
        <f>InitData!K4</f>
        <v>3.7988563673619857E-2</v>
      </c>
      <c r="C9">
        <f>$B9*'Change over time'!C26</f>
        <v>2.7134688338299899E-2</v>
      </c>
      <c r="D9">
        <f>$B9*'Change over time'!D26</f>
        <v>1.953697560357593E-2</v>
      </c>
      <c r="E9">
        <f>$B9*'Change over time'!E26</f>
        <v>1.3024650402383951E-2</v>
      </c>
      <c r="F9">
        <f>$B9*'Change over time'!F26</f>
        <v>8.6831002682559687E-3</v>
      </c>
      <c r="G9">
        <f>$B9*'Change over time'!G26</f>
        <v>5.4269376676599791E-3</v>
      </c>
      <c r="H9">
        <f>$B9*'Change over time'!H26</f>
        <v>5.4269376676599791E-3</v>
      </c>
      <c r="I9">
        <f>$B9*'Change over time'!I26</f>
        <v>5.4269376676599791E-3</v>
      </c>
    </row>
    <row r="10" spans="1:9" x14ac:dyDescent="0.35">
      <c r="A10" t="s">
        <v>42</v>
      </c>
      <c r="B10">
        <f>InitData!K5</f>
        <v>4.2750766181358944E-2</v>
      </c>
      <c r="C10">
        <f>$B10*'Change over time'!C27</f>
        <v>2.6404884994368761E-2</v>
      </c>
      <c r="D10">
        <f>$B10*'Change over time'!D27</f>
        <v>1.7603256662912507E-2</v>
      </c>
      <c r="E10">
        <f>$B10*'Change over time'!E27</f>
        <v>1.0059003807378576E-2</v>
      </c>
      <c r="F10">
        <f>$B10*'Change over time'!F27</f>
        <v>6.2868773796116093E-3</v>
      </c>
      <c r="G10">
        <f>$B10*'Change over time'!G27</f>
        <v>3.7721264277669657E-3</v>
      </c>
      <c r="H10">
        <f>$B10*'Change over time'!H27</f>
        <v>3.7721264277669657E-3</v>
      </c>
      <c r="I10">
        <f>$B10*'Change over time'!I27</f>
        <v>3.7721264277669657E-3</v>
      </c>
    </row>
    <row r="12" spans="1:9" x14ac:dyDescent="0.35">
      <c r="A12" t="s">
        <v>30</v>
      </c>
      <c r="B12">
        <v>2015</v>
      </c>
      <c r="C12">
        <v>2020</v>
      </c>
      <c r="D12">
        <v>2025</v>
      </c>
      <c r="E12">
        <v>2030</v>
      </c>
      <c r="F12">
        <v>2035</v>
      </c>
      <c r="G12">
        <v>2040</v>
      </c>
      <c r="H12">
        <v>2045</v>
      </c>
      <c r="I12">
        <v>2050</v>
      </c>
    </row>
    <row r="13" spans="1:9" x14ac:dyDescent="0.35">
      <c r="A13" t="s">
        <v>41</v>
      </c>
      <c r="B13">
        <f>InitData!M4</f>
        <v>8.344987686818095E-2</v>
      </c>
      <c r="C13">
        <f>$B13*'Change over time'!C30</f>
        <v>5.5633251245453971E-2</v>
      </c>
      <c r="D13">
        <f>$B13*'Change over time'!D30</f>
        <v>4.1062637824025548E-2</v>
      </c>
      <c r="E13">
        <f>$B13*'Change over time'!E30</f>
        <v>3.0465828062986693E-2</v>
      </c>
      <c r="F13">
        <f>$B13*'Change over time'!F30</f>
        <v>2.2518220742207558E-2</v>
      </c>
      <c r="G13">
        <f>$B13*'Change over time'!G30</f>
        <v>1.7219815861688133E-2</v>
      </c>
      <c r="H13">
        <f>$B13*'Change over time'!H30</f>
        <v>1.7219815861688133E-2</v>
      </c>
      <c r="I13">
        <f>$B13*'Change over time'!I30</f>
        <v>1.7219815861688133E-2</v>
      </c>
    </row>
    <row r="14" spans="1:9" x14ac:dyDescent="0.35">
      <c r="A14" t="s">
        <v>42</v>
      </c>
      <c r="B14">
        <f>InitData!M5</f>
        <v>8.5754263823746971E-2</v>
      </c>
      <c r="C14">
        <f>$B14*'Change over time'!C31</f>
        <v>4.58341754920027E-2</v>
      </c>
      <c r="D14">
        <f>$B14*'Change over time'!D31</f>
        <v>2.957043580129206E-2</v>
      </c>
      <c r="E14">
        <f>$B14*'Change over time'!E31</f>
        <v>1.7742261480775234E-2</v>
      </c>
      <c r="F14">
        <f>$B14*'Change over time'!F31</f>
        <v>1.0349652530452219E-2</v>
      </c>
      <c r="G14">
        <f>$B14*'Change over time'!G31</f>
        <v>7.3926089503230149E-3</v>
      </c>
      <c r="H14">
        <f>$B14*'Change over time'!H31</f>
        <v>7.3926089503230149E-3</v>
      </c>
      <c r="I14">
        <f>$B14*'Change over time'!I31</f>
        <v>7.3926089503230149E-3</v>
      </c>
    </row>
    <row r="16" spans="1:9" x14ac:dyDescent="0.35">
      <c r="A16" t="s">
        <v>26</v>
      </c>
      <c r="B16">
        <v>2015</v>
      </c>
      <c r="C16">
        <v>2020</v>
      </c>
      <c r="D16">
        <v>2025</v>
      </c>
      <c r="E16">
        <v>2030</v>
      </c>
      <c r="F16">
        <v>2035</v>
      </c>
      <c r="G16">
        <v>2040</v>
      </c>
      <c r="H16">
        <v>2045</v>
      </c>
      <c r="I16">
        <v>2050</v>
      </c>
    </row>
    <row r="17" spans="1:9" x14ac:dyDescent="0.35">
      <c r="A17" t="s">
        <v>41</v>
      </c>
      <c r="B17">
        <f>InitData!L4</f>
        <v>3.575639502577746E-2</v>
      </c>
      <c r="C17">
        <f>$B17*'Change over time'!C34</f>
        <v>2.5540282161269613E-2</v>
      </c>
      <c r="D17">
        <f>$B17*'Change over time'!D34</f>
        <v>1.8389003156114126E-2</v>
      </c>
      <c r="E17">
        <f>$B17*'Change over time'!E34</f>
        <v>1.2259335437409417E-2</v>
      </c>
      <c r="F17">
        <f>$B17*'Change over time'!F34</f>
        <v>8.1728902916062777E-3</v>
      </c>
      <c r="G17">
        <f>$B17*'Change over time'!G34</f>
        <v>5.1080564322539233E-3</v>
      </c>
      <c r="H17">
        <f>$B17*'Change over time'!H34</f>
        <v>5.1080564322539233E-3</v>
      </c>
      <c r="I17">
        <f>$B17*'Change over time'!I34</f>
        <v>5.1080564322539233E-3</v>
      </c>
    </row>
    <row r="18" spans="1:9" x14ac:dyDescent="0.35">
      <c r="A18" t="s">
        <v>42</v>
      </c>
      <c r="B18">
        <f>InitData!L5</f>
        <v>3.5756597773236649E-2</v>
      </c>
      <c r="C18">
        <f>$B18*'Change over time'!C35</f>
        <v>2.2084957448175579E-2</v>
      </c>
      <c r="D18">
        <f>$B18*'Change over time'!D35</f>
        <v>1.4723304965450384E-2</v>
      </c>
      <c r="E18">
        <f>$B18*'Change over time'!E35</f>
        <v>8.4133171231145065E-3</v>
      </c>
      <c r="F18">
        <f>$B18*'Change over time'!F35</f>
        <v>5.2583232019465659E-3</v>
      </c>
      <c r="G18">
        <f>$B18*'Change over time'!G35</f>
        <v>3.1549939211679397E-3</v>
      </c>
      <c r="H18">
        <f>$B18*'Change over time'!H35</f>
        <v>3.1549939211679397E-3</v>
      </c>
      <c r="I18">
        <f>$B18*'Change over time'!I35</f>
        <v>3.1549939211679397E-3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64E2-BEA6-44A6-810C-AC006336CACB}">
  <dimension ref="B1:G13"/>
  <sheetViews>
    <sheetView workbookViewId="0">
      <selection activeCell="C13" sqref="C13"/>
    </sheetView>
  </sheetViews>
  <sheetFormatPr defaultRowHeight="14.5" x14ac:dyDescent="0.35"/>
  <cols>
    <col min="3" max="3" width="9.6328125" bestFit="1" customWidth="1"/>
    <col min="4" max="6" width="13.26953125" customWidth="1"/>
  </cols>
  <sheetData>
    <row r="1" spans="2:7" x14ac:dyDescent="0.35">
      <c r="B1" t="s">
        <v>55</v>
      </c>
    </row>
    <row r="2" spans="2:7" x14ac:dyDescent="0.35">
      <c r="C2" t="s">
        <v>50</v>
      </c>
      <c r="D2" t="s">
        <v>51</v>
      </c>
      <c r="E2" t="s">
        <v>52</v>
      </c>
      <c r="F2" t="s">
        <v>53</v>
      </c>
    </row>
    <row r="3" spans="2:7" x14ac:dyDescent="0.35">
      <c r="B3" t="s">
        <v>49</v>
      </c>
      <c r="C3" s="4">
        <v>456.97585905699998</v>
      </c>
      <c r="D3" s="4">
        <v>460.37173125399994</v>
      </c>
      <c r="E3" s="4">
        <v>468.00021953549992</v>
      </c>
      <c r="F3" s="4">
        <v>466.21933613459998</v>
      </c>
      <c r="G3" t="s">
        <v>54</v>
      </c>
    </row>
    <row r="5" spans="2:7" x14ac:dyDescent="0.35">
      <c r="B5" t="s">
        <v>56</v>
      </c>
    </row>
    <row r="6" spans="2:7" x14ac:dyDescent="0.35">
      <c r="C6" t="s">
        <v>50</v>
      </c>
      <c r="D6" t="s">
        <v>51</v>
      </c>
      <c r="E6" t="s">
        <v>52</v>
      </c>
      <c r="F6" t="s">
        <v>53</v>
      </c>
    </row>
    <row r="7" spans="2:7" x14ac:dyDescent="0.35">
      <c r="B7" t="s">
        <v>49</v>
      </c>
      <c r="C7" s="5">
        <f>C3*0.9071847/1000000</f>
        <v>4.1456150760586677E-4</v>
      </c>
      <c r="D7" s="5">
        <f t="shared" ref="D7:F7" si="0">D3*0.9071847/1000000</f>
        <v>4.1764219090614053E-4</v>
      </c>
      <c r="E7" s="5">
        <f t="shared" si="0"/>
        <v>4.2456263875924663E-4</v>
      </c>
      <c r="F7" s="5">
        <f t="shared" si="0"/>
        <v>4.2294704858546623E-4</v>
      </c>
      <c r="G7" t="s">
        <v>25</v>
      </c>
    </row>
    <row r="9" spans="2:7" x14ac:dyDescent="0.35">
      <c r="B9" t="s">
        <v>57</v>
      </c>
    </row>
    <row r="10" spans="2:7" x14ac:dyDescent="0.35">
      <c r="C10">
        <f>InitData!G4+InitData!G5</f>
        <v>0.50627442470999984</v>
      </c>
    </row>
    <row r="12" spans="2:7" x14ac:dyDescent="0.35">
      <c r="B12" t="s">
        <v>58</v>
      </c>
    </row>
    <row r="13" spans="2:7" x14ac:dyDescent="0.35">
      <c r="C13" s="5">
        <f>C7/C10</f>
        <v>8.1884742221243476E-4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18C81-6CF8-4497-BA9D-C688E9F0D9F7}">
  <dimension ref="A2:K35"/>
  <sheetViews>
    <sheetView workbookViewId="0">
      <selection activeCell="G18" sqref="G18"/>
    </sheetView>
  </sheetViews>
  <sheetFormatPr defaultRowHeight="14.5" x14ac:dyDescent="0.35"/>
  <cols>
    <col min="2" max="2" width="10.36328125" bestFit="1" customWidth="1"/>
  </cols>
  <sheetData>
    <row r="2" spans="1:11" x14ac:dyDescent="0.35">
      <c r="A2" t="s">
        <v>48</v>
      </c>
    </row>
    <row r="5" spans="1:11" x14ac:dyDescent="0.35">
      <c r="A5" t="s">
        <v>9</v>
      </c>
      <c r="B5">
        <v>2015</v>
      </c>
      <c r="C5">
        <v>2020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1" x14ac:dyDescent="0.35">
      <c r="A6" t="s">
        <v>41</v>
      </c>
      <c r="B6">
        <v>137</v>
      </c>
      <c r="C6">
        <v>107</v>
      </c>
      <c r="D6">
        <v>81</v>
      </c>
      <c r="E6">
        <v>60</v>
      </c>
      <c r="F6">
        <v>43</v>
      </c>
      <c r="G6">
        <v>32</v>
      </c>
      <c r="H6">
        <v>32</v>
      </c>
      <c r="I6">
        <v>32</v>
      </c>
    </row>
    <row r="7" spans="1:11" x14ac:dyDescent="0.35">
      <c r="A7" t="s">
        <v>42</v>
      </c>
      <c r="B7">
        <v>131</v>
      </c>
      <c r="C7">
        <v>93</v>
      </c>
      <c r="D7">
        <v>68</v>
      </c>
      <c r="E7">
        <v>49</v>
      </c>
      <c r="F7">
        <v>33</v>
      </c>
      <c r="G7">
        <v>23</v>
      </c>
      <c r="H7">
        <v>23</v>
      </c>
      <c r="I7">
        <v>23</v>
      </c>
    </row>
    <row r="9" spans="1:11" x14ac:dyDescent="0.35">
      <c r="A9" t="s">
        <v>34</v>
      </c>
      <c r="B9">
        <v>2015</v>
      </c>
      <c r="C9">
        <v>2020</v>
      </c>
      <c r="D9">
        <v>2025</v>
      </c>
      <c r="E9">
        <v>2030</v>
      </c>
      <c r="F9">
        <v>2035</v>
      </c>
      <c r="G9">
        <v>2040</v>
      </c>
      <c r="H9">
        <v>2045</v>
      </c>
      <c r="I9">
        <v>2050</v>
      </c>
    </row>
    <row r="10" spans="1:11" x14ac:dyDescent="0.35">
      <c r="A10" t="s">
        <v>41</v>
      </c>
      <c r="B10">
        <v>3.5</v>
      </c>
      <c r="C10">
        <v>2.5</v>
      </c>
      <c r="D10">
        <v>1.8</v>
      </c>
      <c r="E10">
        <v>1.2</v>
      </c>
      <c r="F10">
        <v>0.8</v>
      </c>
      <c r="G10">
        <v>0.5</v>
      </c>
      <c r="H10">
        <v>0.5</v>
      </c>
      <c r="I10">
        <v>0.5</v>
      </c>
    </row>
    <row r="11" spans="1:11" x14ac:dyDescent="0.35">
      <c r="A11" t="s">
        <v>42</v>
      </c>
      <c r="B11">
        <v>3.4</v>
      </c>
      <c r="C11">
        <v>2.1</v>
      </c>
      <c r="D11">
        <v>1.4</v>
      </c>
      <c r="E11">
        <v>0.8</v>
      </c>
      <c r="F11">
        <v>0.5</v>
      </c>
      <c r="G11">
        <v>0.3</v>
      </c>
      <c r="H11">
        <v>0.3</v>
      </c>
      <c r="I11">
        <v>0.3</v>
      </c>
    </row>
    <row r="13" spans="1:11" x14ac:dyDescent="0.35">
      <c r="A13" t="s">
        <v>30</v>
      </c>
      <c r="B13">
        <v>2015</v>
      </c>
      <c r="C13">
        <v>2020</v>
      </c>
      <c r="D13">
        <v>2025</v>
      </c>
      <c r="E13">
        <v>2030</v>
      </c>
      <c r="F13">
        <v>2035</v>
      </c>
      <c r="G13">
        <v>2040</v>
      </c>
      <c r="H13">
        <v>2045</v>
      </c>
      <c r="I13">
        <v>2050</v>
      </c>
      <c r="K13" t="s">
        <v>45</v>
      </c>
    </row>
    <row r="14" spans="1:11" x14ac:dyDescent="0.35">
      <c r="A14" t="s">
        <v>41</v>
      </c>
      <c r="B14">
        <v>6.3</v>
      </c>
      <c r="C14">
        <v>4.2</v>
      </c>
      <c r="D14">
        <v>3.1</v>
      </c>
      <c r="E14">
        <v>2.2999999999999998</v>
      </c>
      <c r="F14">
        <v>1.7</v>
      </c>
      <c r="G14">
        <v>1.3</v>
      </c>
      <c r="H14">
        <v>1.3</v>
      </c>
      <c r="I14">
        <v>1.3</v>
      </c>
      <c r="K14" t="s">
        <v>44</v>
      </c>
    </row>
    <row r="15" spans="1:11" x14ac:dyDescent="0.35">
      <c r="A15" t="s">
        <v>42</v>
      </c>
      <c r="B15">
        <v>5.8</v>
      </c>
      <c r="C15">
        <v>3.1</v>
      </c>
      <c r="D15">
        <v>2</v>
      </c>
      <c r="E15">
        <v>1.2</v>
      </c>
      <c r="F15">
        <v>0.7</v>
      </c>
      <c r="G15">
        <v>0.5</v>
      </c>
      <c r="H15">
        <v>0.5</v>
      </c>
      <c r="I15">
        <v>0.5</v>
      </c>
    </row>
    <row r="16" spans="1:11" x14ac:dyDescent="0.35">
      <c r="K16" t="s">
        <v>46</v>
      </c>
    </row>
    <row r="17" spans="1:11" x14ac:dyDescent="0.35">
      <c r="A17" t="s">
        <v>26</v>
      </c>
      <c r="B17">
        <v>2015</v>
      </c>
      <c r="C17">
        <v>2020</v>
      </c>
      <c r="D17">
        <v>2025</v>
      </c>
      <c r="E17">
        <v>2030</v>
      </c>
      <c r="F17">
        <v>2035</v>
      </c>
      <c r="G17">
        <v>2040</v>
      </c>
      <c r="H17">
        <v>2045</v>
      </c>
      <c r="I17">
        <v>2050</v>
      </c>
      <c r="K17" t="s">
        <v>47</v>
      </c>
    </row>
    <row r="18" spans="1:11" x14ac:dyDescent="0.35">
      <c r="A18" t="s">
        <v>41</v>
      </c>
      <c r="B18">
        <f>0.9*B10</f>
        <v>3.15</v>
      </c>
      <c r="C18">
        <f t="shared" ref="C18:F18" si="0">0.9*C10</f>
        <v>2.25</v>
      </c>
      <c r="D18">
        <f t="shared" si="0"/>
        <v>1.62</v>
      </c>
      <c r="E18">
        <f t="shared" si="0"/>
        <v>1.08</v>
      </c>
      <c r="F18">
        <f t="shared" si="0"/>
        <v>0.72000000000000008</v>
      </c>
      <c r="G18">
        <f t="shared" ref="G18" si="1">0.9*G10</f>
        <v>0.45</v>
      </c>
      <c r="H18">
        <f t="shared" ref="H18:I18" si="2">0.9*H10</f>
        <v>0.45</v>
      </c>
      <c r="I18">
        <f t="shared" si="2"/>
        <v>0.45</v>
      </c>
    </row>
    <row r="19" spans="1:11" x14ac:dyDescent="0.35">
      <c r="A19" t="s">
        <v>42</v>
      </c>
      <c r="B19">
        <f t="shared" ref="B19:G19" si="3">0.9*B11</f>
        <v>3.06</v>
      </c>
      <c r="C19">
        <f t="shared" ref="C19:F19" si="4">0.9*C11</f>
        <v>1.8900000000000001</v>
      </c>
      <c r="D19">
        <f t="shared" si="4"/>
        <v>1.26</v>
      </c>
      <c r="E19">
        <f t="shared" si="4"/>
        <v>0.72000000000000008</v>
      </c>
      <c r="F19">
        <f t="shared" si="4"/>
        <v>0.45</v>
      </c>
      <c r="G19">
        <f t="shared" si="3"/>
        <v>0.27</v>
      </c>
      <c r="H19">
        <f t="shared" ref="H19:I19" si="5">0.9*H11</f>
        <v>0.27</v>
      </c>
      <c r="I19">
        <f t="shared" si="5"/>
        <v>0.27</v>
      </c>
    </row>
    <row r="21" spans="1:11" x14ac:dyDescent="0.35">
      <c r="A21" t="s">
        <v>9</v>
      </c>
      <c r="B21">
        <v>2015</v>
      </c>
      <c r="C21">
        <v>2020</v>
      </c>
      <c r="D21">
        <v>2025</v>
      </c>
      <c r="E21">
        <v>2030</v>
      </c>
      <c r="F21">
        <v>2035</v>
      </c>
      <c r="G21">
        <v>2040</v>
      </c>
      <c r="H21">
        <v>2045</v>
      </c>
      <c r="I21">
        <v>2050</v>
      </c>
    </row>
    <row r="22" spans="1:11" x14ac:dyDescent="0.35">
      <c r="A22" t="s">
        <v>41</v>
      </c>
      <c r="B22" s="3">
        <f t="shared" ref="B22:I23" si="6">B6/$B6</f>
        <v>1</v>
      </c>
      <c r="C22" s="3">
        <f t="shared" si="6"/>
        <v>0.78102189781021902</v>
      </c>
      <c r="D22" s="3">
        <f t="shared" si="6"/>
        <v>0.59124087591240881</v>
      </c>
      <c r="E22" s="3">
        <f t="shared" si="6"/>
        <v>0.43795620437956206</v>
      </c>
      <c r="F22" s="3">
        <f t="shared" si="6"/>
        <v>0.31386861313868614</v>
      </c>
      <c r="G22" s="3">
        <f t="shared" si="6"/>
        <v>0.23357664233576642</v>
      </c>
      <c r="H22" s="3">
        <f t="shared" si="6"/>
        <v>0.23357664233576642</v>
      </c>
      <c r="I22" s="3">
        <f t="shared" si="6"/>
        <v>0.23357664233576642</v>
      </c>
    </row>
    <row r="23" spans="1:11" x14ac:dyDescent="0.35">
      <c r="A23" t="s">
        <v>42</v>
      </c>
      <c r="B23" s="3">
        <f t="shared" si="6"/>
        <v>1</v>
      </c>
      <c r="C23" s="3">
        <f t="shared" si="6"/>
        <v>0.70992366412213737</v>
      </c>
      <c r="D23" s="3">
        <f t="shared" si="6"/>
        <v>0.51908396946564883</v>
      </c>
      <c r="E23" s="3">
        <f t="shared" si="6"/>
        <v>0.37404580152671757</v>
      </c>
      <c r="F23" s="3">
        <f t="shared" si="6"/>
        <v>0.25190839694656486</v>
      </c>
      <c r="G23" s="3">
        <f t="shared" si="6"/>
        <v>0.17557251908396945</v>
      </c>
      <c r="H23" s="3">
        <f t="shared" si="6"/>
        <v>0.17557251908396945</v>
      </c>
      <c r="I23" s="3">
        <f t="shared" si="6"/>
        <v>0.17557251908396945</v>
      </c>
    </row>
    <row r="25" spans="1:11" x14ac:dyDescent="0.35">
      <c r="A25" t="s">
        <v>34</v>
      </c>
      <c r="B25">
        <v>2015</v>
      </c>
      <c r="C25">
        <v>2020</v>
      </c>
      <c r="D25">
        <v>2025</v>
      </c>
      <c r="E25">
        <v>2030</v>
      </c>
      <c r="F25">
        <v>2035</v>
      </c>
      <c r="G25">
        <v>2040</v>
      </c>
      <c r="H25">
        <v>2045</v>
      </c>
      <c r="I25">
        <v>2050</v>
      </c>
    </row>
    <row r="26" spans="1:11" x14ac:dyDescent="0.35">
      <c r="A26" t="s">
        <v>41</v>
      </c>
      <c r="B26" s="3">
        <f t="shared" ref="B26:I27" si="7">B10/$B10</f>
        <v>1</v>
      </c>
      <c r="C26" s="3">
        <f t="shared" si="7"/>
        <v>0.7142857142857143</v>
      </c>
      <c r="D26" s="3">
        <f t="shared" si="7"/>
        <v>0.51428571428571435</v>
      </c>
      <c r="E26" s="3">
        <f t="shared" si="7"/>
        <v>0.34285714285714286</v>
      </c>
      <c r="F26" s="3">
        <f t="shared" si="7"/>
        <v>0.22857142857142859</v>
      </c>
      <c r="G26" s="3">
        <f t="shared" si="7"/>
        <v>0.14285714285714285</v>
      </c>
      <c r="H26" s="3">
        <f t="shared" si="7"/>
        <v>0.14285714285714285</v>
      </c>
      <c r="I26" s="3">
        <f t="shared" si="7"/>
        <v>0.14285714285714285</v>
      </c>
    </row>
    <row r="27" spans="1:11" x14ac:dyDescent="0.35">
      <c r="A27" t="s">
        <v>42</v>
      </c>
      <c r="B27" s="3">
        <f t="shared" si="7"/>
        <v>1</v>
      </c>
      <c r="C27" s="3">
        <f t="shared" si="7"/>
        <v>0.61764705882352944</v>
      </c>
      <c r="D27" s="3">
        <f t="shared" si="7"/>
        <v>0.41176470588235292</v>
      </c>
      <c r="E27" s="3">
        <f t="shared" si="7"/>
        <v>0.23529411764705885</v>
      </c>
      <c r="F27" s="3">
        <f t="shared" si="7"/>
        <v>0.14705882352941177</v>
      </c>
      <c r="G27" s="3">
        <f t="shared" si="7"/>
        <v>8.8235294117647065E-2</v>
      </c>
      <c r="H27" s="3">
        <f t="shared" si="7"/>
        <v>8.8235294117647065E-2</v>
      </c>
      <c r="I27" s="3">
        <f t="shared" si="7"/>
        <v>8.8235294117647065E-2</v>
      </c>
    </row>
    <row r="29" spans="1:11" x14ac:dyDescent="0.35">
      <c r="A29" t="s">
        <v>30</v>
      </c>
      <c r="B29">
        <v>2015</v>
      </c>
      <c r="C29">
        <v>2020</v>
      </c>
      <c r="D29">
        <v>2025</v>
      </c>
      <c r="E29">
        <v>2030</v>
      </c>
      <c r="F29">
        <v>2035</v>
      </c>
      <c r="G29">
        <v>2040</v>
      </c>
      <c r="H29">
        <v>2045</v>
      </c>
      <c r="I29">
        <v>2050</v>
      </c>
    </row>
    <row r="30" spans="1:11" x14ac:dyDescent="0.35">
      <c r="A30" t="s">
        <v>41</v>
      </c>
      <c r="B30" s="3">
        <f t="shared" ref="B30:I31" si="8">B14/$B14</f>
        <v>1</v>
      </c>
      <c r="C30" s="3">
        <f t="shared" si="8"/>
        <v>0.66666666666666674</v>
      </c>
      <c r="D30" s="3">
        <f t="shared" si="8"/>
        <v>0.49206349206349209</v>
      </c>
      <c r="E30" s="3">
        <f t="shared" si="8"/>
        <v>0.36507936507936506</v>
      </c>
      <c r="F30" s="3">
        <f t="shared" si="8"/>
        <v>0.26984126984126983</v>
      </c>
      <c r="G30" s="3">
        <f t="shared" si="8"/>
        <v>0.20634920634920637</v>
      </c>
      <c r="H30" s="3">
        <f t="shared" si="8"/>
        <v>0.20634920634920637</v>
      </c>
      <c r="I30" s="3">
        <f t="shared" si="8"/>
        <v>0.20634920634920637</v>
      </c>
    </row>
    <row r="31" spans="1:11" x14ac:dyDescent="0.35">
      <c r="A31" t="s">
        <v>42</v>
      </c>
      <c r="B31" s="3">
        <f t="shared" si="8"/>
        <v>1</v>
      </c>
      <c r="C31" s="3">
        <f t="shared" si="8"/>
        <v>0.53448275862068972</v>
      </c>
      <c r="D31" s="3">
        <f t="shared" si="8"/>
        <v>0.34482758620689657</v>
      </c>
      <c r="E31" s="3">
        <f t="shared" si="8"/>
        <v>0.20689655172413793</v>
      </c>
      <c r="F31" s="3">
        <f t="shared" si="8"/>
        <v>0.12068965517241378</v>
      </c>
      <c r="G31" s="3">
        <f t="shared" si="8"/>
        <v>8.6206896551724144E-2</v>
      </c>
      <c r="H31" s="3">
        <f t="shared" si="8"/>
        <v>8.6206896551724144E-2</v>
      </c>
      <c r="I31" s="3">
        <f t="shared" si="8"/>
        <v>8.6206896551724144E-2</v>
      </c>
    </row>
    <row r="33" spans="1:9" x14ac:dyDescent="0.35">
      <c r="A33" t="s">
        <v>26</v>
      </c>
      <c r="B33">
        <v>2015</v>
      </c>
      <c r="C33">
        <v>2020</v>
      </c>
      <c r="D33">
        <v>2025</v>
      </c>
      <c r="E33">
        <v>2030</v>
      </c>
      <c r="F33">
        <v>2035</v>
      </c>
      <c r="G33">
        <v>2040</v>
      </c>
      <c r="H33">
        <v>2045</v>
      </c>
      <c r="I33">
        <v>2050</v>
      </c>
    </row>
    <row r="34" spans="1:9" x14ac:dyDescent="0.35">
      <c r="A34" t="s">
        <v>41</v>
      </c>
      <c r="B34" s="3">
        <f t="shared" ref="B34:I35" si="9">B18/$B18</f>
        <v>1</v>
      </c>
      <c r="C34" s="3">
        <f t="shared" si="9"/>
        <v>0.7142857142857143</v>
      </c>
      <c r="D34" s="3">
        <f t="shared" si="9"/>
        <v>0.51428571428571435</v>
      </c>
      <c r="E34" s="3">
        <f t="shared" si="9"/>
        <v>0.34285714285714292</v>
      </c>
      <c r="F34" s="3">
        <f t="shared" si="9"/>
        <v>0.22857142857142859</v>
      </c>
      <c r="G34" s="3">
        <f t="shared" si="9"/>
        <v>0.14285714285714288</v>
      </c>
      <c r="H34" s="3">
        <f t="shared" si="9"/>
        <v>0.14285714285714288</v>
      </c>
      <c r="I34" s="3">
        <f t="shared" si="9"/>
        <v>0.14285714285714288</v>
      </c>
    </row>
    <row r="35" spans="1:9" x14ac:dyDescent="0.35">
      <c r="A35" t="s">
        <v>42</v>
      </c>
      <c r="B35" s="3">
        <f t="shared" si="9"/>
        <v>1</v>
      </c>
      <c r="C35" s="3">
        <f t="shared" si="9"/>
        <v>0.61764705882352944</v>
      </c>
      <c r="D35" s="3">
        <f t="shared" si="9"/>
        <v>0.41176470588235292</v>
      </c>
      <c r="E35" s="3">
        <f t="shared" si="9"/>
        <v>0.23529411764705885</v>
      </c>
      <c r="F35" s="3">
        <f t="shared" si="9"/>
        <v>0.14705882352941177</v>
      </c>
      <c r="G35" s="3">
        <f t="shared" si="9"/>
        <v>8.8235294117647065E-2</v>
      </c>
      <c r="H35" s="3">
        <f t="shared" si="9"/>
        <v>8.8235294117647065E-2</v>
      </c>
      <c r="I35" s="3">
        <f t="shared" si="9"/>
        <v>8.8235294117647065E-2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8BFB-A98A-43B7-B4C1-7D0B7566C644}">
  <dimension ref="A1:Q18"/>
  <sheetViews>
    <sheetView workbookViewId="0">
      <selection activeCell="J21" sqref="J21"/>
    </sheetView>
  </sheetViews>
  <sheetFormatPr defaultRowHeight="14.5" x14ac:dyDescent="0.35"/>
  <cols>
    <col min="1" max="1" width="22.7265625" customWidth="1"/>
    <col min="4" max="4" width="20.81640625" customWidth="1"/>
    <col min="5" max="5" width="15.453125" customWidth="1"/>
    <col min="11" max="11" width="10" customWidth="1"/>
  </cols>
  <sheetData>
    <row r="1" spans="1:17" x14ac:dyDescent="0.35">
      <c r="J1" t="s">
        <v>31</v>
      </c>
      <c r="N1" t="s">
        <v>33</v>
      </c>
    </row>
    <row r="2" spans="1:17" x14ac:dyDescent="0.35">
      <c r="N2">
        <v>0.2</v>
      </c>
      <c r="O2">
        <v>0.1</v>
      </c>
      <c r="P2">
        <v>0.1</v>
      </c>
      <c r="Q2">
        <v>0.17499999999999999</v>
      </c>
    </row>
    <row r="3" spans="1:17" x14ac:dyDescent="0.35">
      <c r="A3" t="s">
        <v>13</v>
      </c>
      <c r="B3" t="s">
        <v>0</v>
      </c>
      <c r="C3" t="s">
        <v>14</v>
      </c>
      <c r="D3" t="s">
        <v>15</v>
      </c>
      <c r="E3" t="s">
        <v>16</v>
      </c>
      <c r="F3" t="s">
        <v>17</v>
      </c>
      <c r="G3">
        <v>2015</v>
      </c>
      <c r="H3" t="s">
        <v>18</v>
      </c>
      <c r="J3" t="s">
        <v>28</v>
      </c>
      <c r="K3" t="s">
        <v>34</v>
      </c>
      <c r="L3" t="s">
        <v>29</v>
      </c>
      <c r="M3" t="s">
        <v>30</v>
      </c>
      <c r="N3" t="s">
        <v>28</v>
      </c>
      <c r="O3" t="s">
        <v>34</v>
      </c>
      <c r="P3" t="s">
        <v>29</v>
      </c>
      <c r="Q3" t="s">
        <v>30</v>
      </c>
    </row>
    <row r="4" spans="1:17" x14ac:dyDescent="0.35">
      <c r="A4" t="s">
        <v>19</v>
      </c>
      <c r="B4" t="s">
        <v>20</v>
      </c>
      <c r="C4" t="s">
        <v>7</v>
      </c>
      <c r="D4" t="s">
        <v>11</v>
      </c>
      <c r="E4" t="s">
        <v>8</v>
      </c>
      <c r="F4" t="s">
        <v>22</v>
      </c>
      <c r="G4">
        <v>0.48555889499999999</v>
      </c>
      <c r="H4" t="s">
        <v>21</v>
      </c>
      <c r="J4">
        <f>G8/G4</f>
        <v>1.186284966996638</v>
      </c>
      <c r="K4">
        <f>G10/G4</f>
        <v>3.7988563673619857E-2</v>
      </c>
      <c r="L4">
        <f>G9/G4</f>
        <v>3.575639502577746E-2</v>
      </c>
      <c r="M4">
        <f>G12/G4</f>
        <v>8.344987686818095E-2</v>
      </c>
      <c r="N4">
        <f>N$2*J4</f>
        <v>0.2372569933993276</v>
      </c>
      <c r="O4">
        <f>O$2*K4</f>
        <v>3.7988563673619861E-3</v>
      </c>
      <c r="P4">
        <f>P$2*L4</f>
        <v>3.5756395025777462E-3</v>
      </c>
      <c r="Q4">
        <f>Q$2*M4</f>
        <v>1.4603728451931666E-2</v>
      </c>
    </row>
    <row r="5" spans="1:17" x14ac:dyDescent="0.35">
      <c r="A5" t="s">
        <v>19</v>
      </c>
      <c r="B5" t="s">
        <v>20</v>
      </c>
      <c r="C5" t="s">
        <v>23</v>
      </c>
      <c r="D5" t="s">
        <v>12</v>
      </c>
      <c r="E5" t="s">
        <v>8</v>
      </c>
      <c r="F5" t="s">
        <v>22</v>
      </c>
      <c r="G5">
        <v>2.0715529709999899E-2</v>
      </c>
      <c r="H5" t="s">
        <v>21</v>
      </c>
      <c r="J5">
        <f>G14/G5</f>
        <v>1.1862885015746054</v>
      </c>
      <c r="K5" s="1">
        <f>G16/G10</f>
        <v>4.2750766181358944E-2</v>
      </c>
      <c r="L5" s="1">
        <f>G15/G5</f>
        <v>3.5756597773236649E-2</v>
      </c>
      <c r="M5">
        <f>G18/G5</f>
        <v>8.5754263823746971E-2</v>
      </c>
      <c r="N5">
        <f>N$2*J5</f>
        <v>0.23725770031492111</v>
      </c>
      <c r="O5">
        <f>O$2*K5</f>
        <v>4.2750766181358949E-3</v>
      </c>
      <c r="P5">
        <f>P$2*L5</f>
        <v>3.5756597773236652E-3</v>
      </c>
      <c r="Q5">
        <f>Q$2*M5</f>
        <v>1.5006996169155719E-2</v>
      </c>
    </row>
    <row r="7" spans="1:17" x14ac:dyDescent="0.35">
      <c r="A7" t="s">
        <v>13</v>
      </c>
      <c r="B7" t="s">
        <v>0</v>
      </c>
      <c r="C7" t="s">
        <v>14</v>
      </c>
      <c r="D7" t="s">
        <v>15</v>
      </c>
      <c r="E7" t="s">
        <v>16</v>
      </c>
      <c r="F7" t="s">
        <v>24</v>
      </c>
      <c r="G7">
        <v>2015</v>
      </c>
      <c r="H7" t="s">
        <v>18</v>
      </c>
    </row>
    <row r="8" spans="1:17" x14ac:dyDescent="0.35">
      <c r="A8" t="s">
        <v>19</v>
      </c>
      <c r="B8" t="s">
        <v>20</v>
      </c>
      <c r="C8" t="s">
        <v>7</v>
      </c>
      <c r="D8" t="s">
        <v>11</v>
      </c>
      <c r="E8" t="s">
        <v>8</v>
      </c>
      <c r="F8" t="s">
        <v>9</v>
      </c>
      <c r="G8">
        <v>0.57601121772999897</v>
      </c>
      <c r="H8" t="s">
        <v>25</v>
      </c>
    </row>
    <row r="9" spans="1:17" x14ac:dyDescent="0.35">
      <c r="A9" t="s">
        <v>19</v>
      </c>
      <c r="B9" t="s">
        <v>20</v>
      </c>
      <c r="C9" t="s">
        <v>7</v>
      </c>
      <c r="D9" t="s">
        <v>11</v>
      </c>
      <c r="E9" t="s">
        <v>8</v>
      </c>
      <c r="F9" t="s">
        <v>26</v>
      </c>
      <c r="G9">
        <v>1.7361835657900001E-2</v>
      </c>
      <c r="H9" t="s">
        <v>25</v>
      </c>
    </row>
    <row r="10" spans="1:17" x14ac:dyDescent="0.35">
      <c r="A10" t="s">
        <v>19</v>
      </c>
      <c r="B10" t="s">
        <v>20</v>
      </c>
      <c r="C10" t="s">
        <v>7</v>
      </c>
      <c r="D10" t="s">
        <v>11</v>
      </c>
      <c r="E10" t="s">
        <v>8</v>
      </c>
      <c r="F10" t="s">
        <v>34</v>
      </c>
      <c r="G10">
        <v>1.8445685E-2</v>
      </c>
      <c r="H10" t="s">
        <v>25</v>
      </c>
    </row>
    <row r="11" spans="1:17" x14ac:dyDescent="0.35">
      <c r="A11" t="s">
        <v>19</v>
      </c>
      <c r="B11" t="s">
        <v>20</v>
      </c>
      <c r="C11" t="s">
        <v>7</v>
      </c>
      <c r="D11" t="s">
        <v>11</v>
      </c>
      <c r="E11" t="s">
        <v>8</v>
      </c>
      <c r="F11" t="s">
        <v>27</v>
      </c>
      <c r="G11">
        <v>0.112547328561</v>
      </c>
      <c r="H11" t="s">
        <v>25</v>
      </c>
    </row>
    <row r="12" spans="1:17" x14ac:dyDescent="0.35">
      <c r="A12" t="s">
        <v>19</v>
      </c>
      <c r="B12" t="s">
        <v>20</v>
      </c>
      <c r="C12" t="s">
        <v>7</v>
      </c>
      <c r="D12" t="s">
        <v>11</v>
      </c>
      <c r="E12" t="s">
        <v>8</v>
      </c>
      <c r="F12" t="s">
        <v>32</v>
      </c>
      <c r="G12">
        <v>4.051983E-2</v>
      </c>
      <c r="H12" t="s">
        <v>25</v>
      </c>
    </row>
    <row r="14" spans="1:17" x14ac:dyDescent="0.35">
      <c r="A14" t="s">
        <v>19</v>
      </c>
      <c r="B14" t="s">
        <v>20</v>
      </c>
      <c r="C14" t="s">
        <v>23</v>
      </c>
      <c r="D14" t="s">
        <v>12</v>
      </c>
      <c r="E14" t="s">
        <v>8</v>
      </c>
      <c r="F14" t="s">
        <v>9</v>
      </c>
      <c r="G14">
        <v>2.4574594698999998E-2</v>
      </c>
      <c r="H14" t="s">
        <v>25</v>
      </c>
    </row>
    <row r="15" spans="1:17" x14ac:dyDescent="0.35">
      <c r="A15" t="s">
        <v>19</v>
      </c>
      <c r="B15" t="s">
        <v>20</v>
      </c>
      <c r="C15" t="s">
        <v>23</v>
      </c>
      <c r="D15" t="s">
        <v>12</v>
      </c>
      <c r="E15" t="s">
        <v>8</v>
      </c>
      <c r="F15" t="s">
        <v>26</v>
      </c>
      <c r="G15" s="1">
        <v>7.4071686350000001E-4</v>
      </c>
      <c r="H15" t="s">
        <v>25</v>
      </c>
    </row>
    <row r="16" spans="1:17" x14ac:dyDescent="0.35">
      <c r="A16" t="s">
        <v>19</v>
      </c>
      <c r="B16" t="s">
        <v>20</v>
      </c>
      <c r="C16" t="s">
        <v>23</v>
      </c>
      <c r="D16" t="s">
        <v>12</v>
      </c>
      <c r="E16" t="s">
        <v>8</v>
      </c>
      <c r="F16" t="s">
        <v>34</v>
      </c>
      <c r="G16" s="2">
        <v>7.8856716648999996E-4</v>
      </c>
      <c r="H16" t="s">
        <v>25</v>
      </c>
    </row>
    <row r="17" spans="1:8" x14ac:dyDescent="0.35">
      <c r="A17" t="s">
        <v>19</v>
      </c>
      <c r="B17" t="s">
        <v>20</v>
      </c>
      <c r="C17" t="s">
        <v>23</v>
      </c>
      <c r="D17" t="s">
        <v>12</v>
      </c>
      <c r="E17" t="s">
        <v>8</v>
      </c>
      <c r="F17" t="s">
        <v>27</v>
      </c>
      <c r="G17">
        <v>4.8017045427499998E-3</v>
      </c>
      <c r="H17" t="s">
        <v>25</v>
      </c>
    </row>
    <row r="18" spans="1:8" x14ac:dyDescent="0.35">
      <c r="A18" t="s">
        <v>19</v>
      </c>
      <c r="B18" t="s">
        <v>20</v>
      </c>
      <c r="C18" t="s">
        <v>23</v>
      </c>
      <c r="D18" t="s">
        <v>12</v>
      </c>
      <c r="E18" t="s">
        <v>8</v>
      </c>
      <c r="F18" t="s">
        <v>32</v>
      </c>
      <c r="G18">
        <v>1.776445E-3</v>
      </c>
      <c r="H1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locomotive_EF_update_221101</vt:lpstr>
      <vt:lpstr>TimeSeries</vt:lpstr>
      <vt:lpstr>sulfur</vt:lpstr>
      <vt:lpstr>Change over time</vt:lpstr>
      <vt:lpstr>InitData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Loughlin</dc:creator>
  <cp:lastModifiedBy>Dan Loughlin</cp:lastModifiedBy>
  <dcterms:created xsi:type="dcterms:W3CDTF">2022-05-04T20:28:20Z</dcterms:created>
  <dcterms:modified xsi:type="dcterms:W3CDTF">2022-11-18T18:37:57Z</dcterms:modified>
</cp:coreProperties>
</file>